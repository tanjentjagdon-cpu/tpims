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ych\OneDrive\Desktop\tela plain\Excel Sale\"/>
    </mc:Choice>
  </mc:AlternateContent>
  <bookViews>
    <workbookView xWindow="0" yWindow="0" windowWidth="28800" windowHeight="11880"/>
  </bookViews>
  <sheets>
    <sheet name="SALE 2" sheetId="1" r:id="rId1"/>
  </sheets>
  <definedNames>
    <definedName name="_xlnm._FilterDatabase" localSheetId="0" hidden="1">'SALE 2'!$B$1:$Z$162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6" i="1" l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L180" i="1"/>
  <c r="M180" i="1" s="1"/>
  <c r="I180" i="1"/>
  <c r="J180" i="1" s="1"/>
  <c r="L179" i="1"/>
  <c r="M179" i="1" s="1"/>
  <c r="I179" i="1"/>
  <c r="J179" i="1" s="1"/>
  <c r="L178" i="1"/>
  <c r="M178" i="1" s="1"/>
  <c r="J178" i="1"/>
  <c r="I178" i="1"/>
  <c r="L177" i="1"/>
  <c r="M177" i="1" s="1"/>
  <c r="I177" i="1"/>
  <c r="J177" i="1" s="1"/>
  <c r="L176" i="1"/>
  <c r="M176" i="1" s="1"/>
  <c r="I176" i="1"/>
  <c r="J176" i="1" s="1"/>
  <c r="L175" i="1"/>
  <c r="M175" i="1" s="1"/>
  <c r="J175" i="1"/>
  <c r="I175" i="1"/>
  <c r="L174" i="1"/>
  <c r="M174" i="1" s="1"/>
  <c r="I174" i="1"/>
  <c r="J174" i="1" s="1"/>
  <c r="L173" i="1"/>
  <c r="M173" i="1" s="1"/>
  <c r="I173" i="1"/>
  <c r="J173" i="1" s="1"/>
  <c r="L172" i="1"/>
  <c r="M172" i="1" s="1"/>
  <c r="I172" i="1"/>
  <c r="J172" i="1" s="1"/>
  <c r="L171" i="1"/>
  <c r="M171" i="1" s="1"/>
  <c r="I171" i="1"/>
  <c r="J171" i="1" s="1"/>
  <c r="E171" i="1"/>
  <c r="L170" i="1"/>
  <c r="M170" i="1" s="1"/>
  <c r="I170" i="1"/>
  <c r="J170" i="1" s="1"/>
  <c r="L169" i="1"/>
  <c r="M169" i="1" s="1"/>
  <c r="I169" i="1"/>
  <c r="J169" i="1" s="1"/>
  <c r="L168" i="1"/>
  <c r="M168" i="1" s="1"/>
  <c r="I168" i="1"/>
  <c r="X164" i="1"/>
  <c r="W164" i="1"/>
  <c r="V164" i="1"/>
  <c r="J164" i="1"/>
  <c r="Y162" i="1"/>
  <c r="K153" i="1"/>
  <c r="S153" i="1" s="1"/>
  <c r="Y153" i="1" s="1"/>
  <c r="K152" i="1"/>
  <c r="S152" i="1" s="1"/>
  <c r="Y152" i="1" s="1"/>
  <c r="U151" i="1"/>
  <c r="Q151" i="1"/>
  <c r="P151" i="1"/>
  <c r="O151" i="1"/>
  <c r="N151" i="1"/>
  <c r="M151" i="1"/>
  <c r="K151" i="1"/>
  <c r="S151" i="1" s="1"/>
  <c r="U150" i="1"/>
  <c r="Q150" i="1"/>
  <c r="P150" i="1"/>
  <c r="O150" i="1"/>
  <c r="N150" i="1"/>
  <c r="M150" i="1"/>
  <c r="K150" i="1"/>
  <c r="U149" i="1"/>
  <c r="Q149" i="1"/>
  <c r="P149" i="1"/>
  <c r="O149" i="1"/>
  <c r="N149" i="1"/>
  <c r="M149" i="1"/>
  <c r="K149" i="1"/>
  <c r="S149" i="1" s="1"/>
  <c r="U148" i="1"/>
  <c r="Y148" i="1" s="1"/>
  <c r="S148" i="1"/>
  <c r="Q148" i="1"/>
  <c r="P148" i="1"/>
  <c r="O148" i="1"/>
  <c r="N148" i="1"/>
  <c r="M148" i="1"/>
  <c r="K148" i="1"/>
  <c r="K147" i="1"/>
  <c r="R147" i="1" s="1"/>
  <c r="K146" i="1"/>
  <c r="S146" i="1" s="1"/>
  <c r="Y146" i="1" s="1"/>
  <c r="K145" i="1"/>
  <c r="S145" i="1" s="1"/>
  <c r="Y145" i="1" s="1"/>
  <c r="K144" i="1"/>
  <c r="S144" i="1" s="1"/>
  <c r="Y144" i="1" s="1"/>
  <c r="K143" i="1"/>
  <c r="R143" i="1" s="1"/>
  <c r="R142" i="1"/>
  <c r="K142" i="1"/>
  <c r="S142" i="1" s="1"/>
  <c r="Y142" i="1" s="1"/>
  <c r="K141" i="1"/>
  <c r="S141" i="1" s="1"/>
  <c r="Y141" i="1" s="1"/>
  <c r="K140" i="1"/>
  <c r="S140" i="1" s="1"/>
  <c r="Y140" i="1" s="1"/>
  <c r="K139" i="1"/>
  <c r="K138" i="1"/>
  <c r="K137" i="1"/>
  <c r="R137" i="1" s="1"/>
  <c r="R136" i="1"/>
  <c r="K136" i="1"/>
  <c r="S136" i="1" s="1"/>
  <c r="Y136" i="1" s="1"/>
  <c r="Q135" i="1"/>
  <c r="P135" i="1"/>
  <c r="O135" i="1"/>
  <c r="K135" i="1"/>
  <c r="S135" i="1" s="1"/>
  <c r="Y135" i="1" s="1"/>
  <c r="S134" i="1"/>
  <c r="Y134" i="1" s="1"/>
  <c r="Q134" i="1"/>
  <c r="P134" i="1"/>
  <c r="O134" i="1"/>
  <c r="K134" i="1"/>
  <c r="Q133" i="1"/>
  <c r="P133" i="1"/>
  <c r="O133" i="1"/>
  <c r="K133" i="1"/>
  <c r="S133" i="1" s="1"/>
  <c r="Y133" i="1" s="1"/>
  <c r="Q132" i="1"/>
  <c r="P132" i="1"/>
  <c r="O132" i="1"/>
  <c r="K132" i="1"/>
  <c r="S132" i="1" s="1"/>
  <c r="Y132" i="1" s="1"/>
  <c r="Q131" i="1"/>
  <c r="P131" i="1"/>
  <c r="O131" i="1"/>
  <c r="K131" i="1"/>
  <c r="S131" i="1" s="1"/>
  <c r="Y131" i="1" s="1"/>
  <c r="K130" i="1"/>
  <c r="Q129" i="1"/>
  <c r="K129" i="1"/>
  <c r="S129" i="1" s="1"/>
  <c r="Y129" i="1" s="1"/>
  <c r="Q128" i="1"/>
  <c r="K128" i="1"/>
  <c r="S128" i="1" s="1"/>
  <c r="Y128" i="1" s="1"/>
  <c r="K127" i="1"/>
  <c r="R127" i="1" s="1"/>
  <c r="K126" i="1"/>
  <c r="S126" i="1" s="1"/>
  <c r="Y126" i="1" s="1"/>
  <c r="K125" i="1"/>
  <c r="R125" i="1" s="1"/>
  <c r="O124" i="1"/>
  <c r="K124" i="1"/>
  <c r="S124" i="1" s="1"/>
  <c r="O123" i="1"/>
  <c r="R123" i="1" s="1"/>
  <c r="K123" i="1"/>
  <c r="S123" i="1" s="1"/>
  <c r="O122" i="1"/>
  <c r="K122" i="1"/>
  <c r="S122" i="1" s="1"/>
  <c r="O121" i="1"/>
  <c r="K121" i="1"/>
  <c r="O120" i="1"/>
  <c r="K120" i="1"/>
  <c r="S120" i="1" s="1"/>
  <c r="K119" i="1"/>
  <c r="R119" i="1" s="1"/>
  <c r="K118" i="1"/>
  <c r="S118" i="1" s="1"/>
  <c r="Y118" i="1" s="1"/>
  <c r="K117" i="1"/>
  <c r="S117" i="1" s="1"/>
  <c r="Y117" i="1" s="1"/>
  <c r="S116" i="1"/>
  <c r="Y116" i="1" s="1"/>
  <c r="R116" i="1"/>
  <c r="K116" i="1"/>
  <c r="K115" i="1"/>
  <c r="S115" i="1" s="1"/>
  <c r="Y115" i="1" s="1"/>
  <c r="U114" i="1"/>
  <c r="Q114" i="1"/>
  <c r="P114" i="1"/>
  <c r="O114" i="1"/>
  <c r="K114" i="1"/>
  <c r="S114" i="1" s="1"/>
  <c r="U113" i="1"/>
  <c r="Q113" i="1"/>
  <c r="P113" i="1"/>
  <c r="O113" i="1"/>
  <c r="K113" i="1"/>
  <c r="S113" i="1" s="1"/>
  <c r="Y113" i="1" s="1"/>
  <c r="K112" i="1"/>
  <c r="S112" i="1" s="1"/>
  <c r="Y112" i="1" s="1"/>
  <c r="S111" i="1"/>
  <c r="Y111" i="1" s="1"/>
  <c r="R111" i="1"/>
  <c r="K111" i="1"/>
  <c r="K110" i="1"/>
  <c r="S110" i="1" s="1"/>
  <c r="Y110" i="1" s="1"/>
  <c r="K109" i="1"/>
  <c r="S109" i="1" s="1"/>
  <c r="Y109" i="1" s="1"/>
  <c r="K108" i="1"/>
  <c r="S108" i="1" s="1"/>
  <c r="Y108" i="1" s="1"/>
  <c r="K107" i="1"/>
  <c r="S107" i="1" s="1"/>
  <c r="Y107" i="1" s="1"/>
  <c r="S106" i="1"/>
  <c r="Y106" i="1" s="1"/>
  <c r="K106" i="1"/>
  <c r="R106" i="1" s="1"/>
  <c r="K105" i="1"/>
  <c r="R105" i="1" s="1"/>
  <c r="K104" i="1"/>
  <c r="S104" i="1" s="1"/>
  <c r="Y104" i="1" s="1"/>
  <c r="U103" i="1"/>
  <c r="T103" i="1"/>
  <c r="Q103" i="1"/>
  <c r="P103" i="1"/>
  <c r="O103" i="1"/>
  <c r="N103" i="1"/>
  <c r="M103" i="1"/>
  <c r="L103" i="1"/>
  <c r="K103" i="1"/>
  <c r="S103" i="1" s="1"/>
  <c r="Y103" i="1" s="1"/>
  <c r="U102" i="1"/>
  <c r="T102" i="1"/>
  <c r="R102" i="1"/>
  <c r="Q102" i="1"/>
  <c r="P102" i="1"/>
  <c r="O102" i="1"/>
  <c r="N102" i="1"/>
  <c r="M102" i="1"/>
  <c r="L102" i="1"/>
  <c r="K102" i="1"/>
  <c r="S102" i="1" s="1"/>
  <c r="U101" i="1"/>
  <c r="T101" i="1"/>
  <c r="Q101" i="1"/>
  <c r="P101" i="1"/>
  <c r="O101" i="1"/>
  <c r="N101" i="1"/>
  <c r="M101" i="1"/>
  <c r="L101" i="1"/>
  <c r="K101" i="1"/>
  <c r="S101" i="1" s="1"/>
  <c r="U100" i="1"/>
  <c r="T100" i="1"/>
  <c r="Q100" i="1"/>
  <c r="P100" i="1"/>
  <c r="O100" i="1"/>
  <c r="N100" i="1"/>
  <c r="M100" i="1"/>
  <c r="L100" i="1"/>
  <c r="K100" i="1"/>
  <c r="S100" i="1" s="1"/>
  <c r="K99" i="1"/>
  <c r="S99" i="1" s="1"/>
  <c r="Y99" i="1" s="1"/>
  <c r="K98" i="1"/>
  <c r="S98" i="1" s="1"/>
  <c r="Y98" i="1" s="1"/>
  <c r="K97" i="1"/>
  <c r="S97" i="1" s="1"/>
  <c r="Y97" i="1" s="1"/>
  <c r="K96" i="1"/>
  <c r="S96" i="1" s="1"/>
  <c r="Y96" i="1" s="1"/>
  <c r="K95" i="1"/>
  <c r="S95" i="1" s="1"/>
  <c r="Y95" i="1" s="1"/>
  <c r="K94" i="1"/>
  <c r="S94" i="1" s="1"/>
  <c r="Y94" i="1" s="1"/>
  <c r="K93" i="1"/>
  <c r="S93" i="1" s="1"/>
  <c r="Y93" i="1" s="1"/>
  <c r="K92" i="1"/>
  <c r="S92" i="1" s="1"/>
  <c r="Y92" i="1" s="1"/>
  <c r="K91" i="1"/>
  <c r="S91" i="1" s="1"/>
  <c r="Y91" i="1" s="1"/>
  <c r="K90" i="1"/>
  <c r="R90" i="1" s="1"/>
  <c r="K89" i="1"/>
  <c r="S89" i="1" s="1"/>
  <c r="Y89" i="1" s="1"/>
  <c r="Q88" i="1"/>
  <c r="K88" i="1"/>
  <c r="S88" i="1" s="1"/>
  <c r="Y88" i="1" s="1"/>
  <c r="Q87" i="1"/>
  <c r="M87" i="1"/>
  <c r="K87" i="1"/>
  <c r="K86" i="1"/>
  <c r="R86" i="1" s="1"/>
  <c r="R85" i="1"/>
  <c r="K85" i="1"/>
  <c r="S85" i="1" s="1"/>
  <c r="Y85" i="1" s="1"/>
  <c r="K84" i="1"/>
  <c r="R84" i="1" s="1"/>
  <c r="K83" i="1"/>
  <c r="R83" i="1" s="1"/>
  <c r="K82" i="1"/>
  <c r="S82" i="1" s="1"/>
  <c r="Y82" i="1" s="1"/>
  <c r="K81" i="1"/>
  <c r="S81" i="1" s="1"/>
  <c r="Y81" i="1" s="1"/>
  <c r="K80" i="1"/>
  <c r="R80" i="1" s="1"/>
  <c r="R79" i="1"/>
  <c r="K79" i="1"/>
  <c r="S79" i="1" s="1"/>
  <c r="Y79" i="1" s="1"/>
  <c r="K78" i="1"/>
  <c r="R78" i="1" s="1"/>
  <c r="K77" i="1"/>
  <c r="R77" i="1" s="1"/>
  <c r="K76" i="1"/>
  <c r="S76" i="1" s="1"/>
  <c r="Y76" i="1" s="1"/>
  <c r="K75" i="1"/>
  <c r="S75" i="1" s="1"/>
  <c r="Y75" i="1" s="1"/>
  <c r="U74" i="1"/>
  <c r="Q74" i="1"/>
  <c r="P74" i="1"/>
  <c r="O74" i="1"/>
  <c r="N74" i="1"/>
  <c r="M74" i="1"/>
  <c r="K74" i="1"/>
  <c r="S74" i="1" s="1"/>
  <c r="Y74" i="1" s="1"/>
  <c r="U73" i="1"/>
  <c r="Q73" i="1"/>
  <c r="P73" i="1"/>
  <c r="O73" i="1"/>
  <c r="N73" i="1"/>
  <c r="M73" i="1"/>
  <c r="K73" i="1"/>
  <c r="S73" i="1" s="1"/>
  <c r="U72" i="1"/>
  <c r="Q72" i="1"/>
  <c r="P72" i="1"/>
  <c r="O72" i="1"/>
  <c r="N72" i="1"/>
  <c r="M72" i="1"/>
  <c r="K72" i="1"/>
  <c r="S72" i="1" s="1"/>
  <c r="U71" i="1"/>
  <c r="Q71" i="1"/>
  <c r="P71" i="1"/>
  <c r="O71" i="1"/>
  <c r="N71" i="1"/>
  <c r="M71" i="1"/>
  <c r="K71" i="1"/>
  <c r="S71" i="1" s="1"/>
  <c r="N70" i="1"/>
  <c r="M70" i="1"/>
  <c r="K70" i="1"/>
  <c r="S70" i="1" s="1"/>
  <c r="Y70" i="1" s="1"/>
  <c r="Q69" i="1"/>
  <c r="N69" i="1"/>
  <c r="M69" i="1"/>
  <c r="K69" i="1"/>
  <c r="S69" i="1" s="1"/>
  <c r="Y69" i="1" s="1"/>
  <c r="K68" i="1"/>
  <c r="S68" i="1" s="1"/>
  <c r="Y68" i="1" s="1"/>
  <c r="K67" i="1"/>
  <c r="S67" i="1" s="1"/>
  <c r="Y67" i="1" s="1"/>
  <c r="K66" i="1"/>
  <c r="S66" i="1" s="1"/>
  <c r="Y66" i="1" s="1"/>
  <c r="K65" i="1"/>
  <c r="S65" i="1" s="1"/>
  <c r="Y65" i="1" s="1"/>
  <c r="K64" i="1"/>
  <c r="S64" i="1" s="1"/>
  <c r="Y64" i="1" s="1"/>
  <c r="K63" i="1"/>
  <c r="S63" i="1" s="1"/>
  <c r="Y63" i="1" s="1"/>
  <c r="Q62" i="1"/>
  <c r="P62" i="1"/>
  <c r="O62" i="1"/>
  <c r="K62" i="1"/>
  <c r="Q61" i="1"/>
  <c r="P61" i="1"/>
  <c r="O61" i="1"/>
  <c r="K61" i="1"/>
  <c r="S61" i="1" s="1"/>
  <c r="Y61" i="1" s="1"/>
  <c r="Q60" i="1"/>
  <c r="P60" i="1"/>
  <c r="O60" i="1"/>
  <c r="K60" i="1"/>
  <c r="S60" i="1" s="1"/>
  <c r="Y60" i="1" s="1"/>
  <c r="Q59" i="1"/>
  <c r="P59" i="1"/>
  <c r="O59" i="1"/>
  <c r="K59" i="1"/>
  <c r="S59" i="1" s="1"/>
  <c r="Y59" i="1" s="1"/>
  <c r="R58" i="1"/>
  <c r="K58" i="1"/>
  <c r="S58" i="1" s="1"/>
  <c r="Y58" i="1" s="1"/>
  <c r="K57" i="1"/>
  <c r="S57" i="1" s="1"/>
  <c r="Y57" i="1" s="1"/>
  <c r="K56" i="1"/>
  <c r="S56" i="1" s="1"/>
  <c r="Y56" i="1" s="1"/>
  <c r="K55" i="1"/>
  <c r="S55" i="1" s="1"/>
  <c r="Y55" i="1" s="1"/>
  <c r="Y54" i="1"/>
  <c r="Q54" i="1"/>
  <c r="K54" i="1"/>
  <c r="S54" i="1" s="1"/>
  <c r="Q53" i="1"/>
  <c r="K53" i="1"/>
  <c r="R53" i="1" s="1"/>
  <c r="K52" i="1"/>
  <c r="S52" i="1" s="1"/>
  <c r="Y52" i="1" s="1"/>
  <c r="K51" i="1"/>
  <c r="S51" i="1" s="1"/>
  <c r="Y51" i="1" s="1"/>
  <c r="K50" i="1"/>
  <c r="S50" i="1" s="1"/>
  <c r="Y50" i="1" s="1"/>
  <c r="K49" i="1"/>
  <c r="S49" i="1" s="1"/>
  <c r="Y49" i="1" s="1"/>
  <c r="K48" i="1"/>
  <c r="S48" i="1" s="1"/>
  <c r="Y48" i="1" s="1"/>
  <c r="K47" i="1"/>
  <c r="S47" i="1" s="1"/>
  <c r="Y47" i="1" s="1"/>
  <c r="Q46" i="1"/>
  <c r="P46" i="1"/>
  <c r="O46" i="1"/>
  <c r="N46" i="1"/>
  <c r="M46" i="1"/>
  <c r="K46" i="1"/>
  <c r="S46" i="1" s="1"/>
  <c r="Y46" i="1" s="1"/>
  <c r="Q45" i="1"/>
  <c r="P45" i="1"/>
  <c r="O45" i="1"/>
  <c r="N45" i="1"/>
  <c r="M45" i="1"/>
  <c r="K45" i="1"/>
  <c r="S45" i="1" s="1"/>
  <c r="Y45" i="1" s="1"/>
  <c r="K44" i="1"/>
  <c r="S44" i="1" s="1"/>
  <c r="Y44" i="1" s="1"/>
  <c r="K43" i="1"/>
  <c r="S43" i="1" s="1"/>
  <c r="Y43" i="1" s="1"/>
  <c r="K42" i="1"/>
  <c r="S42" i="1" s="1"/>
  <c r="Y42" i="1" s="1"/>
  <c r="S41" i="1"/>
  <c r="Y41" i="1" s="1"/>
  <c r="K41" i="1"/>
  <c r="R41" i="1" s="1"/>
  <c r="K40" i="1"/>
  <c r="S40" i="1" s="1"/>
  <c r="Y40" i="1" s="1"/>
  <c r="K39" i="1"/>
  <c r="R39" i="1" s="1"/>
  <c r="K38" i="1"/>
  <c r="S38" i="1" s="1"/>
  <c r="Y37" i="1"/>
  <c r="K37" i="1"/>
  <c r="R37" i="1" s="1"/>
  <c r="K36" i="1"/>
  <c r="R36" i="1" s="1"/>
  <c r="E175" i="1" s="1"/>
  <c r="Y35" i="1"/>
  <c r="K35" i="1"/>
  <c r="R35" i="1" s="1"/>
  <c r="Y34" i="1"/>
  <c r="K34" i="1"/>
  <c r="R34" i="1" s="1"/>
  <c r="Y33" i="1"/>
  <c r="K33" i="1"/>
  <c r="R33" i="1" s="1"/>
  <c r="Y32" i="1"/>
  <c r="K32" i="1"/>
  <c r="R32" i="1" s="1"/>
  <c r="Y31" i="1"/>
  <c r="Q31" i="1"/>
  <c r="N31" i="1"/>
  <c r="M31" i="1"/>
  <c r="K31" i="1"/>
  <c r="Y30" i="1"/>
  <c r="Q30" i="1"/>
  <c r="N30" i="1"/>
  <c r="M30" i="1"/>
  <c r="K30" i="1"/>
  <c r="Y29" i="1"/>
  <c r="R29" i="1"/>
  <c r="K29" i="1"/>
  <c r="U28" i="1"/>
  <c r="Y28" i="1" s="1"/>
  <c r="Q28" i="1"/>
  <c r="P28" i="1"/>
  <c r="O28" i="1"/>
  <c r="M28" i="1"/>
  <c r="K28" i="1"/>
  <c r="U27" i="1"/>
  <c r="Y27" i="1" s="1"/>
  <c r="Q27" i="1"/>
  <c r="P27" i="1"/>
  <c r="O27" i="1"/>
  <c r="M27" i="1"/>
  <c r="K27" i="1"/>
  <c r="R27" i="1" s="1"/>
  <c r="U26" i="1"/>
  <c r="Y26" i="1" s="1"/>
  <c r="Q26" i="1"/>
  <c r="P26" i="1"/>
  <c r="O26" i="1"/>
  <c r="M26" i="1"/>
  <c r="K26" i="1"/>
  <c r="U25" i="1"/>
  <c r="Y25" i="1" s="1"/>
  <c r="Q25" i="1"/>
  <c r="P25" i="1"/>
  <c r="O25" i="1"/>
  <c r="M25" i="1"/>
  <c r="K25" i="1"/>
  <c r="U24" i="1"/>
  <c r="Y24" i="1" s="1"/>
  <c r="Q24" i="1"/>
  <c r="P24" i="1"/>
  <c r="O24" i="1"/>
  <c r="M24" i="1"/>
  <c r="K24" i="1"/>
  <c r="Y23" i="1"/>
  <c r="R23" i="1"/>
  <c r="K23" i="1"/>
  <c r="Y22" i="1"/>
  <c r="R22" i="1"/>
  <c r="K22" i="1"/>
  <c r="Y21" i="1"/>
  <c r="K21" i="1"/>
  <c r="R21" i="1" s="1"/>
  <c r="Y20" i="1"/>
  <c r="K20" i="1"/>
  <c r="R20" i="1" s="1"/>
  <c r="Y19" i="1"/>
  <c r="K19" i="1"/>
  <c r="R19" i="1" s="1"/>
  <c r="Y18" i="1"/>
  <c r="K18" i="1"/>
  <c r="R18" i="1" s="1"/>
  <c r="Y17" i="1"/>
  <c r="K17" i="1"/>
  <c r="R17" i="1" s="1"/>
  <c r="Y16" i="1"/>
  <c r="K16" i="1"/>
  <c r="R16" i="1" s="1"/>
  <c r="Y15" i="1"/>
  <c r="K15" i="1"/>
  <c r="R15" i="1" s="1"/>
  <c r="Y14" i="1"/>
  <c r="K14" i="1"/>
  <c r="R14" i="1" s="1"/>
  <c r="Y13" i="1"/>
  <c r="K13" i="1"/>
  <c r="R13" i="1" s="1"/>
  <c r="Y12" i="1"/>
  <c r="K12" i="1"/>
  <c r="R12" i="1" s="1"/>
  <c r="Y11" i="1"/>
  <c r="K11" i="1"/>
  <c r="R11" i="1" s="1"/>
  <c r="Y10" i="1"/>
  <c r="K10" i="1"/>
  <c r="R10" i="1" s="1"/>
  <c r="Y9" i="1"/>
  <c r="K9" i="1"/>
  <c r="R9" i="1" s="1"/>
  <c r="Y8" i="1"/>
  <c r="K8" i="1"/>
  <c r="R8" i="1" s="1"/>
  <c r="Y7" i="1"/>
  <c r="K7" i="1"/>
  <c r="R7" i="1" s="1"/>
  <c r="Y6" i="1"/>
  <c r="K6" i="1"/>
  <c r="R6" i="1" s="1"/>
  <c r="Y5" i="1"/>
  <c r="K5" i="1"/>
  <c r="R5" i="1" s="1"/>
  <c r="Y4" i="1"/>
  <c r="K4" i="1"/>
  <c r="R4" i="1" s="1"/>
  <c r="Y3" i="1"/>
  <c r="K3" i="1"/>
  <c r="R3" i="1" s="1"/>
  <c r="Y2" i="1"/>
  <c r="K2" i="1"/>
  <c r="R2" i="1" s="1"/>
  <c r="S86" i="1" l="1"/>
  <c r="Y86" i="1" s="1"/>
  <c r="R115" i="1"/>
  <c r="S78" i="1"/>
  <c r="Y78" i="1" s="1"/>
  <c r="S105" i="1"/>
  <c r="Y105" i="1" s="1"/>
  <c r="R56" i="1"/>
  <c r="R95" i="1"/>
  <c r="R144" i="1"/>
  <c r="S137" i="1"/>
  <c r="Y137" i="1" s="1"/>
  <c r="R140" i="1"/>
  <c r="R153" i="1"/>
  <c r="R42" i="1"/>
  <c r="R52" i="1"/>
  <c r="R57" i="1"/>
  <c r="R66" i="1"/>
  <c r="R31" i="1"/>
  <c r="Y73" i="1"/>
  <c r="R98" i="1"/>
  <c r="Y101" i="1"/>
  <c r="Y114" i="1"/>
  <c r="R122" i="1"/>
  <c r="R112" i="1"/>
  <c r="Y102" i="1"/>
  <c r="R101" i="1"/>
  <c r="R117" i="1"/>
  <c r="S147" i="1"/>
  <c r="Y147" i="1" s="1"/>
  <c r="Y151" i="1"/>
  <c r="S119" i="1"/>
  <c r="Y119" i="1" s="1"/>
  <c r="S143" i="1"/>
  <c r="Y143" i="1" s="1"/>
  <c r="S39" i="1"/>
  <c r="Y39" i="1" s="1"/>
  <c r="R38" i="1"/>
  <c r="R68" i="1"/>
  <c r="S90" i="1"/>
  <c r="Y90" i="1" s="1"/>
  <c r="R30" i="1"/>
  <c r="R44" i="1"/>
  <c r="R62" i="1"/>
  <c r="Q164" i="1"/>
  <c r="R70" i="1"/>
  <c r="L164" i="1"/>
  <c r="R109" i="1"/>
  <c r="R118" i="1"/>
  <c r="R124" i="1"/>
  <c r="R59" i="1"/>
  <c r="R81" i="1"/>
  <c r="R91" i="1"/>
  <c r="R26" i="1"/>
  <c r="R50" i="1"/>
  <c r="R63" i="1"/>
  <c r="R93" i="1"/>
  <c r="R96" i="1"/>
  <c r="R103" i="1"/>
  <c r="R107" i="1"/>
  <c r="R141" i="1"/>
  <c r="R152" i="1"/>
  <c r="R25" i="1"/>
  <c r="R128" i="1"/>
  <c r="Y100" i="1"/>
  <c r="Y71" i="1"/>
  <c r="Y72" i="1"/>
  <c r="R69" i="1"/>
  <c r="R89" i="1"/>
  <c r="S125" i="1"/>
  <c r="Y125" i="1" s="1"/>
  <c r="R97" i="1"/>
  <c r="R114" i="1"/>
  <c r="R129" i="1"/>
  <c r="R65" i="1"/>
  <c r="S77" i="1"/>
  <c r="Y77" i="1" s="1"/>
  <c r="R92" i="1"/>
  <c r="R99" i="1"/>
  <c r="R28" i="1"/>
  <c r="R24" i="1"/>
  <c r="R49" i="1"/>
  <c r="R51" i="1"/>
  <c r="C198" i="1" s="1"/>
  <c r="M164" i="1"/>
  <c r="R45" i="1"/>
  <c r="R73" i="1"/>
  <c r="S80" i="1"/>
  <c r="Y80" i="1" s="1"/>
  <c r="R108" i="1"/>
  <c r="S62" i="1"/>
  <c r="Y62" i="1" s="1"/>
  <c r="R151" i="1"/>
  <c r="R43" i="1"/>
  <c r="R61" i="1"/>
  <c r="R113" i="1"/>
  <c r="Y149" i="1"/>
  <c r="C191" i="1"/>
  <c r="C190" i="1"/>
  <c r="C192" i="1"/>
  <c r="S139" i="1"/>
  <c r="Y139" i="1" s="1"/>
  <c r="R139" i="1"/>
  <c r="R48" i="1"/>
  <c r="R55" i="1"/>
  <c r="R60" i="1"/>
  <c r="R71" i="1"/>
  <c r="R75" i="1"/>
  <c r="S83" i="1"/>
  <c r="Y83" i="1" s="1"/>
  <c r="R104" i="1"/>
  <c r="R110" i="1"/>
  <c r="R145" i="1"/>
  <c r="C193" i="1"/>
  <c r="R72" i="1"/>
  <c r="R120" i="1"/>
  <c r="R133" i="1"/>
  <c r="R64" i="1"/>
  <c r="R126" i="1"/>
  <c r="R146" i="1"/>
  <c r="S150" i="1"/>
  <c r="Y150" i="1" s="1"/>
  <c r="R150" i="1"/>
  <c r="O164" i="1"/>
  <c r="N164" i="1"/>
  <c r="Y38" i="1"/>
  <c r="R67" i="1"/>
  <c r="R74" i="1"/>
  <c r="R82" i="1"/>
  <c r="R88" i="1"/>
  <c r="R100" i="1"/>
  <c r="K164" i="1"/>
  <c r="P164" i="1"/>
  <c r="R47" i="1"/>
  <c r="R54" i="1"/>
  <c r="R87" i="1"/>
  <c r="T164" i="1"/>
  <c r="S121" i="1"/>
  <c r="R121" i="1"/>
  <c r="S130" i="1"/>
  <c r="Y130" i="1" s="1"/>
  <c r="R130" i="1"/>
  <c r="R132" i="1"/>
  <c r="R135" i="1"/>
  <c r="C202" i="1"/>
  <c r="C204" i="1"/>
  <c r="I188" i="1"/>
  <c r="R76" i="1"/>
  <c r="J168" i="1"/>
  <c r="U164" i="1"/>
  <c r="C195" i="1"/>
  <c r="R40" i="1"/>
  <c r="R46" i="1"/>
  <c r="S84" i="1"/>
  <c r="Y84" i="1" s="1"/>
  <c r="S87" i="1"/>
  <c r="Y87" i="1" s="1"/>
  <c r="R94" i="1"/>
  <c r="S127" i="1"/>
  <c r="Y127" i="1" s="1"/>
  <c r="S53" i="1"/>
  <c r="Y53" i="1" s="1"/>
  <c r="C205" i="1"/>
  <c r="R134" i="1"/>
  <c r="S138" i="1"/>
  <c r="Y138" i="1" s="1"/>
  <c r="R138" i="1"/>
  <c r="C189" i="1"/>
  <c r="R131" i="1"/>
  <c r="R148" i="1"/>
  <c r="C207" i="1" s="1"/>
  <c r="L188" i="1"/>
  <c r="R149" i="1"/>
  <c r="C203" i="1" l="1"/>
  <c r="E167" i="1"/>
  <c r="Y164" i="1"/>
  <c r="C194" i="1"/>
  <c r="C199" i="1"/>
  <c r="C206" i="1"/>
  <c r="C201" i="1"/>
  <c r="N188" i="1"/>
  <c r="S164" i="1"/>
  <c r="E170" i="1"/>
  <c r="C196" i="1"/>
  <c r="C221" i="1" s="1"/>
  <c r="R164" i="1"/>
  <c r="E168" i="1"/>
  <c r="E176" i="1"/>
  <c r="E177" i="1" s="1"/>
  <c r="C200" i="1"/>
  <c r="C197" i="1"/>
  <c r="E169" i="1"/>
  <c r="E172" i="1" l="1"/>
  <c r="E179" i="1" s="1"/>
</calcChain>
</file>

<file path=xl/sharedStrings.xml><?xml version="1.0" encoding="utf-8"?>
<sst xmlns="http://schemas.openxmlformats.org/spreadsheetml/2006/main" count="643" uniqueCount="318">
  <si>
    <t>DATE</t>
  </si>
  <si>
    <t xml:space="preserve">Order number </t>
  </si>
  <si>
    <t xml:space="preserve">Name </t>
  </si>
  <si>
    <t xml:space="preserve">Status </t>
  </si>
  <si>
    <t>Date</t>
  </si>
  <si>
    <t>Buyer's Address</t>
  </si>
  <si>
    <t>Products</t>
  </si>
  <si>
    <t xml:space="preserve">Item Price </t>
  </si>
  <si>
    <t xml:space="preserve">quanity </t>
  </si>
  <si>
    <t>Total</t>
  </si>
  <si>
    <t xml:space="preserve">Shipping fee paid by buyer </t>
  </si>
  <si>
    <t>Estimated Shipping Fee Charged by Logistic Provider</t>
  </si>
  <si>
    <t xml:space="preserve">Shipping fee Rebate </t>
  </si>
  <si>
    <t>Service Fee</t>
  </si>
  <si>
    <t>Transaction Fee</t>
  </si>
  <si>
    <t xml:space="preserve">Tax </t>
  </si>
  <si>
    <t xml:space="preserve">Total </t>
  </si>
  <si>
    <t xml:space="preserve">Merchandise Subtotal </t>
  </si>
  <si>
    <t>Shipping Fee</t>
  </si>
  <si>
    <t xml:space="preserve">Shopee Voucher </t>
  </si>
  <si>
    <t>Seller Voucher</t>
  </si>
  <si>
    <t xml:space="preserve">Payment discount </t>
  </si>
  <si>
    <t>shopee coin redeem</t>
  </si>
  <si>
    <t>Total Buyer Payment</t>
  </si>
  <si>
    <t>251030EMXU4GVB</t>
  </si>
  <si>
    <t>Jashley Mcaine
+639151138604</t>
  </si>
  <si>
    <t>COMPLETED</t>
  </si>
  <si>
    <t>727 sulucan st. sampaloc manila, Barangay 458, Sampaloc, Metro Manila, Metro Manila, 1000</t>
  </si>
  <si>
    <t>Olive Green-Noraisa</t>
  </si>
  <si>
    <t>251031HVHGQH1T</t>
  </si>
  <si>
    <t>Erwin Gimo Vergara
+639773061200</t>
  </si>
  <si>
    <t>Paninggaan, Conalum, Argao, Cebu-Conalum Elementary School, Conalum, Argao, Visayas, Cebu, 6021</t>
  </si>
  <si>
    <t>Lavender #35</t>
  </si>
  <si>
    <t>251101KMFF9RUE</t>
  </si>
  <si>
    <t xml:space="preserve">No contact No. </t>
  </si>
  <si>
    <t>Bitaoyan 3,badiangan ,iloilo, Bita-Oyan, Badiangan, Visayas, Iloilo, 0915</t>
  </si>
  <si>
    <t>Errose-Pink</t>
  </si>
  <si>
    <t>251101KVEB53A0</t>
  </si>
  <si>
    <t>Golden Valley Homes, Block 12 Lot 42, Sitio Samberga, Sapang Maragul, Sapang Maragul, Tarlac City, North Luzon, Tarlac, 3020</t>
  </si>
  <si>
    <t>Esther PP-Pink</t>
  </si>
  <si>
    <t>251101M5RR9X6C</t>
  </si>
  <si>
    <t>Purok5, Corazon, Corazon, San Miguel, Visayas, Bohol, 6323</t>
  </si>
  <si>
    <t>Off-White #02</t>
  </si>
  <si>
    <t>251101M9P956BU</t>
  </si>
  <si>
    <t>Purok, 2, Sierra, Sierra, La Paz, North Luzon, Tarlac, 2314</t>
  </si>
  <si>
    <t>Dark Grey #56</t>
  </si>
  <si>
    <t>251101MC9JQ6NC</t>
  </si>
  <si>
    <t>Purok 3, San Rafael, San Rafael, Castilla, South Luzon, Sorsogon, 4713</t>
  </si>
  <si>
    <t>Desiree-Red</t>
  </si>
  <si>
    <t>251101MHCYNSSV</t>
  </si>
  <si>
    <t>Block 3 Lot 3 Kagandahan Street, Batasan Hills, Batasan Hills, Quezon City, Metro Manila, Metro Manila, 1126</t>
  </si>
  <si>
    <t>Drake-Grey</t>
  </si>
  <si>
    <t>251101MHQECM8Q</t>
  </si>
  <si>
    <t>251102NAMEH8K7</t>
  </si>
  <si>
    <t>Tinago Street, Zone 4, San Isidro, San Isidro, Baao, South Luzon, Camarines Sur, 4400</t>
  </si>
  <si>
    <t>Christmas Eve Red</t>
  </si>
  <si>
    <t>251102NTQB59WP</t>
  </si>
  <si>
    <t>Block 6 Lot 5, Parkdale Classic 1 Subdivision, Anabu I -A, Anabu I -A, Imus, South Luzon, Cavite, 4103</t>
  </si>
  <si>
    <t>251102P1VGWW9Y</t>
  </si>
  <si>
    <t>Blk. 35 Lot.5 GPL-1 Greengate Homes, Malagasang I -G, Imus, South Luzon, Cavite, 4103</t>
  </si>
  <si>
    <t>251102PDK9C0AQ</t>
  </si>
  <si>
    <t>DELIVERED</t>
  </si>
  <si>
    <t>Purok 1, Dona Rosario, Tubay, Mindanao, Agusan Del Norte, 8606</t>
  </si>
  <si>
    <t>Desiree-Lavender</t>
  </si>
  <si>
    <t>251102PFX9RR0S</t>
  </si>
  <si>
    <t>Blk 45 Lot 55 Carnation Street Harmony Hills 2, Loma De Gato, Marilao, North Luzon, Bulacan, 3019</t>
  </si>
  <si>
    <t>Cream #20</t>
  </si>
  <si>
    <t>251102PNYEG2U9</t>
  </si>
  <si>
    <t>Zone-5, Tubajon, Tubajon, Laguindingan, Mindanao, Misamis Oriental, 9019</t>
  </si>
  <si>
    <t>Pink #05</t>
  </si>
  <si>
    <t>251102PTC9J82U</t>
  </si>
  <si>
    <t>Macedonio Jr
+639655626610</t>
  </si>
  <si>
    <t>48 Henares Street, B. F. Homes Parañaque Ciry, B. F. Homes, Paranaque City, Metro Manila, Metro Manila, 1702</t>
  </si>
  <si>
    <t>Green #13</t>
  </si>
  <si>
    <t>251103S3ENS8S2</t>
  </si>
  <si>
    <t>PUROK 13 SITIO LUMATAG ELEMENTARY SCHOOL, Dalag, Davao City, Mindanao, Davao Del Sur, 8888</t>
  </si>
  <si>
    <t>251103S583FHKR</t>
  </si>
  <si>
    <t>Buela Residence, Sitio Centro, Bignay 1, Bignay 1, Sariaya, South Luzon, Quezon, 4322</t>
  </si>
  <si>
    <t>251104TD2FHY80</t>
  </si>
  <si>
    <t>Zone 4, Bitag Grande, Baggao, North Luzon, Cagayan, 3506</t>
  </si>
  <si>
    <t>Errose-Blue</t>
  </si>
  <si>
    <t>251104THPM99T9</t>
  </si>
  <si>
    <t>Purok Centro Buhay, Buhay, Makilala, Mindanao, North Cotabato, 9401</t>
  </si>
  <si>
    <t>251104U9RVXAP9</t>
  </si>
  <si>
    <t>Purok 3 brgy caragsacan dinglan auroRa, Caragsacan, Dingalan, North Luzon, Aurora, 3207</t>
  </si>
  <si>
    <t>Light Pink #04</t>
  </si>
  <si>
    <t>251104UYA8BSCQ</t>
  </si>
  <si>
    <t>Anthony
+639634703342</t>
  </si>
  <si>
    <t>Block 3 Lot 11, Benco Village, Mapagong, Mapagong, Pagbilao, South Luzon, Quezon, 4302</t>
  </si>
  <si>
    <t>White #01</t>
  </si>
  <si>
    <t>251104V421E8CR</t>
  </si>
  <si>
    <t>Block 1 Lot 3 Linderman St.KS4 Lancaster, Navarro, General Trias, South Luzon, Cavite, 4108</t>
  </si>
  <si>
    <t>Yellow #08</t>
  </si>
  <si>
    <t>Red #16</t>
  </si>
  <si>
    <t>Emerald #15</t>
  </si>
  <si>
    <t>25110508QT8TP1</t>
  </si>
  <si>
    <t>Carmelito
+639989291092</t>
  </si>
  <si>
    <t>Ph 3, Blk 3, Lot 10, Orchid st. Micara Estate, Sahud Ulan, Tanza, South Luzon, Cavite, 4108</t>
  </si>
  <si>
    <t>2511050HPNE85R</t>
  </si>
  <si>
    <t>Soledad Street, Purok 7, Sapang Palay (Pob.), Sapang Palay (Pob.), San Andres, South Luzon, Catanduanes, 4810</t>
  </si>
  <si>
    <t>Purple #39</t>
  </si>
  <si>
    <t>2511050WXWP98E</t>
  </si>
  <si>
    <t>Sta fe, San Agustin, San Jose, South Luzon, Occidental Mindoro, 5100</t>
  </si>
  <si>
    <t>Errose-Apple Green</t>
  </si>
  <si>
    <t>25110516FFXW7W</t>
  </si>
  <si>
    <t xml:space="preserve">Mark Allan
+639641883329
</t>
  </si>
  <si>
    <t>184 Lati, Kaparangan, Orani, North Luzon, Bataan, 2112</t>
  </si>
  <si>
    <t>25110518RJC3TU</t>
  </si>
  <si>
    <t>Norman
+639092185591</t>
  </si>
  <si>
    <t>Unit 1909 Symfoni Kamias Condominium, 10 K-J Street, East Kamias, East Kamias, Quezon City, Metro Manila, Metro Manila, 1102</t>
  </si>
  <si>
    <t>#581061969149396461</t>
  </si>
  <si>
    <t>T-COMPLETED</t>
  </si>
  <si>
    <t>2511051DJVFGT7</t>
  </si>
  <si>
    <t>Kenneth Ii
+639763723242</t>
  </si>
  <si>
    <t>9105 Calaca Road, Purok 1, Pulong Saging, Pulong Saging, Silang, South Luzon, Cavite, 4118</t>
  </si>
  <si>
    <t>2511062P5Y4AGP</t>
  </si>
  <si>
    <t>Elizer
+639093885233</t>
  </si>
  <si>
    <t>Sigasig St. Block 19 Lot 27 Pasinaya West Sabang Naic Cavite, Sabang, Naic, South Luzon, Cavite, 4110</t>
  </si>
  <si>
    <t>Olive Green #29</t>
  </si>
  <si>
    <t>2511062SAMN6QT</t>
  </si>
  <si>
    <t>Mark Anthony
+639071134814</t>
  </si>
  <si>
    <t>Likod Ng pag asa, Ferdinand E. Marcos Pob. (District Ii), San Jose City, North Luzon, Nueva Ecija, 3121</t>
  </si>
  <si>
    <t>2511062SPST6QT</t>
  </si>
  <si>
    <t>Jude Michael
+639184706426</t>
  </si>
  <si>
    <t>Block 13 lot 1 Grand Riverside Villa, Market Area (Pob.), Santa Rosa City, South Luzon, Laguna, 4026</t>
  </si>
  <si>
    <t>2511063K4MR98R</t>
  </si>
  <si>
    <t>Baracca Street, Poblacion Ii, Poblacion Ii, Carcar City, Visayas, Cebu, 6019</t>
  </si>
  <si>
    <t>2511074UKPKYD0</t>
  </si>
  <si>
    <t>David Antalan Palay Buying Station, Purok Camia, San Agustin, San Agustin, Victoria, North Luzon, Tarlac, 2313</t>
  </si>
  <si>
    <t>2511074WD93GKD</t>
  </si>
  <si>
    <t>Avocado Street, Purok5, San Pedro, San Pedro, San Jose Del Monte City, North Luzon, Bulacan, 3023</t>
  </si>
  <si>
    <t>2511075210H5KE</t>
  </si>
  <si>
    <t>9010 @ (A) C. VIRATA ST, Pajo, Alfonso, South Luzon, Cavite, 4120</t>
  </si>
  <si>
    <t>251107562J2XT6</t>
  </si>
  <si>
    <t>212, Purok 4 Sitio Malasin, Sta Maria Camiling Tarlac, Santa Maria, Camiling, North Luzon, Tarlac, 2306</t>
  </si>
  <si>
    <t>25110769TRHYFR</t>
  </si>
  <si>
    <t>#158 Maharlika Highway, San Ricardo, Talavera, Nueva Ecija, Philippines 3114, San Ricardo, Talavera, North Luzon, Nueva Ecija, 3114</t>
  </si>
  <si>
    <t>2511076JATKKJF</t>
  </si>
  <si>
    <t>Jolo St. Excess Lot Yellowbelle Assoc. Brgy. Gavino Maderan GMA, Cavite, near iceplant, Gavino Maderan, Gen. Mariano Alvarez, South Luzon, Cavite, 4117</t>
  </si>
  <si>
    <t>2511076KJ8AJ52</t>
  </si>
  <si>
    <t>Pag-Asa Street, Sabang, Sabang, Naic, South Luzon, Cavite, 4110</t>
  </si>
  <si>
    <t>Christmas Eve Cream</t>
  </si>
  <si>
    <t>2511087APS8EW7</t>
  </si>
  <si>
    <t>Mabulo Street, Bitulok (North Pob.), Gabaldon, North Luzon, Nueva Ecija, 3131</t>
  </si>
  <si>
    <t>2511087EXRTTRV</t>
  </si>
  <si>
    <t>Purok 4 Lagpan, Alayao, Alayao, Capalonga, South Luzon, Camarines Norte, 4607</t>
  </si>
  <si>
    <t>2511087P6R6TH2</t>
  </si>
  <si>
    <t>Brgy. Pandanan Barangay Hall, Pandanan, Pandanan, Calauag, South Luzon, Quezon, 4318</t>
  </si>
  <si>
    <t>Fuschia Pink #10</t>
  </si>
  <si>
    <t>25110889T5082V</t>
  </si>
  <si>
    <t>Purok 3 Subanen Gk Village, Buenasuerte, Buenasuerte, Mutia, Mindanao, Zamboanga Del Norte, 7107</t>
  </si>
  <si>
    <t>Light Blue #25</t>
  </si>
  <si>
    <t>2511088B1Y3AHX</t>
  </si>
  <si>
    <t>11/14/2025</t>
  </si>
  <si>
    <t>Phase 3 Buntong palay brgy. Silangan San Mateo Rizal, Silangan, San Mateo, South Luzon, Rizal, 1850</t>
  </si>
  <si>
    <t>2511088KTQNFFH</t>
  </si>
  <si>
    <t>Blk 8 Lot 15 Austria Street Cadiz Heights Subdivision, Tinampa-An, Cadiz City, Visayas, Negros Occidental, 6121</t>
  </si>
  <si>
    <t>Yellow-Sidnilyn</t>
  </si>
  <si>
    <t>2511088T1PE29T</t>
  </si>
  <si>
    <t>block 10 phase 44 huxley street greenridge tagpos bilibiran binangonan rizal, Tagpos, Binangonan, South Luzon, Rizal, 1940</t>
  </si>
  <si>
    <t>2511088T9J4SHH</t>
  </si>
  <si>
    <t>Blk 24 lot 51 workersville brgy punta 1 tanza cavite, Punta I, Tanza, South Luzon, Cavite, 0821</t>
  </si>
  <si>
    <t>Esther PP-Red</t>
  </si>
  <si>
    <t>2511099RWY5E6D</t>
  </si>
  <si>
    <t>Suguitan St., Purok 3, Minanga, Naguilian, North Luzon, Isabela, 3302</t>
  </si>
  <si>
    <t>251109A3F26SCS</t>
  </si>
  <si>
    <t>zone 5.san jose baggao,cagayan valley 3506 north luzon, San Jose, Baggao, North Luzon, Cagayan, 3506</t>
  </si>
  <si>
    <t>251109A7M3ESE3</t>
  </si>
  <si>
    <t>sitio Manggahan Brgy Putat. Likod Ng CG mart. Unang Tulay Na Maliit, Putat, Nasugbu, South Luzon, Batangas, 4231</t>
  </si>
  <si>
    <t>Drake-Red</t>
  </si>
  <si>
    <t>251109ADXV6CWY</t>
  </si>
  <si>
    <t>16 Orient St., Sunshine Place, Brentville International Community, Mampalasan, Binan City, South Luzon, Laguna, 4024</t>
  </si>
  <si>
    <t>251109AGWPSCUT</t>
  </si>
  <si>
    <t>Santol Mataas na Kahoy Batangas, Santol, Mataasnakahoy, South Luzon, Batangas, 4223</t>
  </si>
  <si>
    <t>251109AJQ4GJW1</t>
  </si>
  <si>
    <t>AT SORTING FACILITY</t>
  </si>
  <si>
    <t>Purok 5. Puntod lopez jaena, misamis Occidental, Puntod, Lopez Jaena, Mindanao, Misamis Occidental, 7208</t>
  </si>
  <si>
    <t>251109AJQQMA3K</t>
  </si>
  <si>
    <t xml:space="preserve">Purok 10 magdum, Magdum, Tagum City, Mindanao, Davao Del Norte, 8100
</t>
  </si>
  <si>
    <t>251109AM74W7RV</t>
  </si>
  <si>
    <t>Purok 6 Cataning Hermosa Bataan, Kanto Bounty Fresh Company, Cataning (Pob.), Hermosa, North Luzon, Bataan, 2111</t>
  </si>
  <si>
    <t>251110CB5ND4P6</t>
  </si>
  <si>
    <t>4 Malabo Kalantukan Street, Malinao, Malinao, Magdalena, South Luzon, Laguna, 0171</t>
  </si>
  <si>
    <t>251110D4CBEF94</t>
  </si>
  <si>
    <t>Gallera Morning Breeze, Talon-Talon, Talon-Talon, Zamboanga City, Mindanao, Zamboanga Del Sur, 7000</t>
  </si>
  <si>
    <t>251110D5VXWUBJ</t>
  </si>
  <si>
    <t>Durastress Corporation Angeles Industrial Park Inc, Lot 20, Calibutbut, Calibutbut, Bacolor, North Luzon, Pampanga, 3000</t>
  </si>
  <si>
    <t>251110D6J8R6AJ</t>
  </si>
  <si>
    <t>Sitio Sulong Dulo, Tilapayong, Tilapayong, Baliuag, North Luzon, Bulacan, 6003</t>
  </si>
  <si>
    <t>251110DQBR99SJ</t>
  </si>
  <si>
    <t>Sitio , Cansig Id, Banga, Banga, Bayawan City, Visayas, Negros Oriental, 6221</t>
  </si>
  <si>
    <t>251110DVVKCDUQ</t>
  </si>
  <si>
    <t>Block 5 san manuel, San Manuel, Tarlac City, North Luzon, Tarlac, 2300</t>
  </si>
  <si>
    <t>251110E3NJ3RVY</t>
  </si>
  <si>
    <t>Unit 3, Greg Aniceto Apartment, F Ilagan Street, Purok 5, Sinipit (Pob.), Bongabon, North Luzon, Nueva Ecija, 3128</t>
  </si>
  <si>
    <t>251111EV57091D</t>
  </si>
  <si>
    <t>Lower Barangay San Antonio Valley1, Gumamela Street, San Antonio, San Antonio, Paranaque City, Metro Manila, Metro Manila, 1700</t>
  </si>
  <si>
    <t>251111EXUHTN4Q</t>
  </si>
  <si>
    <t>251111F1MDP6S4</t>
  </si>
  <si>
    <t>251111F44TPM90</t>
  </si>
  <si>
    <t>Sitio Passi, Tinungkaan, Tinungkaan, Upi, Mindanao, Maguindanao, 9602</t>
  </si>
  <si>
    <t>251111FBBK01BU</t>
  </si>
  <si>
    <t>Sitio Coog, Mahanub, Mahanub, Baganga, Mindanao, Davao Oriental, 0416</t>
  </si>
  <si>
    <t>251111FEEF7M8T</t>
  </si>
  <si>
    <t>116 Slaba Road, Zone 6, San Nicolas, San Nicolas, Villasis, North Luzon, Pangasinan, 2427</t>
  </si>
  <si>
    <t>251111FMKSJAUS</t>
  </si>
  <si>
    <t>Apple Green #12</t>
  </si>
  <si>
    <t>251111FTBMSRGM</t>
  </si>
  <si>
    <t>Aluyan, bago mag memorial park, Tibag, Abra De Ilog, South Luzon, Occidental Mindoro, 5108</t>
  </si>
  <si>
    <t>251111FUP7H32V</t>
  </si>
  <si>
    <t>#39 purok 2 San Matias lubao pamp, San Matias, Lubao, North Luzon, Pampanga, 2005</t>
  </si>
  <si>
    <t>251111G2EP30JE</t>
  </si>
  <si>
    <t>Sitio malibiklibik Brgy. Lumipa Gen.Emelio Aguinaldo Cavite, Lumipa, General Emilio Aguinaldo, South Luzon, Cavite, 4124</t>
  </si>
  <si>
    <t>251111GB6RRUGW</t>
  </si>
  <si>
    <t>Zone2, Linao @ waiting shed, Linao, Aparri, North Luzon, Cagayan, 3515</t>
  </si>
  <si>
    <t>251111GJJXJAVH</t>
  </si>
  <si>
    <t>Kulan Lamcade, Lamcade, Lake Sebu, Mindanao, South Cotabato, 9506</t>
  </si>
  <si>
    <t>251112HR0J172C</t>
  </si>
  <si>
    <t>Purok sambulawan maranding LALA lanao del Norte Likod Sa Mosque, Maranding, Lala, Mindanao, Lanao Del Norte, 9212</t>
  </si>
  <si>
    <t>251112HT3A8PTH</t>
  </si>
  <si>
    <t>Provincial Rood, Rizal (Pana-Ugan), Rizal (Pana-ugan), Quinapondan, Visayas, Eastern Samar, 6018</t>
  </si>
  <si>
    <t>251112HU57G9W5</t>
  </si>
  <si>
    <t>1654 Porto Gate, Balon-Anito, Mariveles, North Luzon, Bataan, 2105</t>
  </si>
  <si>
    <t>251112J8ES2G9M</t>
  </si>
  <si>
    <t>Baranggay Hall, Lun Padidu, Malapatan, Mindanao, Sarangani, 9516</t>
  </si>
  <si>
    <t>251112JGVEV966</t>
  </si>
  <si>
    <t>Our Lady Of Fatima Chapel, Purok 1 Zone 8, Cupang, Cupang, Antipolo City, South Luzon, Rizal, 1234</t>
  </si>
  <si>
    <t>251112JRWEBN6V</t>
  </si>
  <si>
    <t>251112JTKH8PTQ</t>
  </si>
  <si>
    <t>The Salvation Army Church, Sitio Lamsine, Veterans, Veterans, Surallah, Mindanao, South Cotabato, 9513</t>
  </si>
  <si>
    <t>251112K7W6KJU4</t>
  </si>
  <si>
    <t>CANCELLED</t>
  </si>
  <si>
    <t>1279 Nia Road, Makinabang, Makinabang, Baliuag, North Luzon, Bulacan, 1279
Logistic Information</t>
  </si>
  <si>
    <t>251113KGEJNVCR</t>
  </si>
  <si>
    <t>1279 Nia Road, Makinabang, Makinabang, Baliuag, North Luzon, Bulacan, 1279</t>
  </si>
  <si>
    <t>251113MDHEPEYC</t>
  </si>
  <si>
    <t>251113MS91TJNR</t>
  </si>
  <si>
    <t>Accacia Street, Purok 2, Armenia sa may sulodan, Armenia, Uson, South Luzon, Masbate, 5513</t>
  </si>
  <si>
    <t>251113MSYD36C1</t>
  </si>
  <si>
    <t>Sitio Atbol, Acmonan, Acmonan, Tupi, Mindanao, South Cotabato, 0595</t>
  </si>
  <si>
    <t>251113NGESUKX0</t>
  </si>
  <si>
    <t>Purok-3, San Jose,Quezon, Bukidnon, San Jose, Quezon, Mindanao, Bukidnon, 8715</t>
  </si>
  <si>
    <t>251114PNV9F2WA</t>
  </si>
  <si>
    <t>Ferns Cafe, San Ignacio, San Ignacio, San Pablo City, South Luzon, Laguna, 4000</t>
  </si>
  <si>
    <t>251114PV9245G3</t>
  </si>
  <si>
    <t>P. 5, Desawo, Veterans, Veterans, Surallah, Mindanao, South Cotabato, 1395</t>
  </si>
  <si>
    <t>251114QD5G23N8</t>
  </si>
  <si>
    <t>251114QGJCR4JT</t>
  </si>
  <si>
    <t>Zone 1, Tupanna, Tupanna, Pamplona, North Luzon, Cagayan, 3522</t>
  </si>
  <si>
    <t>251114QHA7Q1GY</t>
  </si>
  <si>
    <t>Blk 12 Lot 6 Phase 2A Mahogany Villas, Looc, Calamba City, South Luzon, Laguna, 4027</t>
  </si>
  <si>
    <t>251114QJ2HY2H7</t>
  </si>
  <si>
    <t>Purok 3, Santa Elena, Santa Elena, Orion, North Luzon, Bataan, 1234</t>
  </si>
  <si>
    <t>251114QQYH4JY7</t>
  </si>
  <si>
    <t>Sto.Tikian, Tubili, Tubili, Paluan, South Luzon, Occidental Mindoro, 2002</t>
  </si>
  <si>
    <t>251114R5PU969K</t>
  </si>
  <si>
    <t>#581135699516491675</t>
  </si>
  <si>
    <t>T-DELIVERED</t>
  </si>
  <si>
    <t>Yellow Gold #62</t>
  </si>
  <si>
    <t>251115SHES6CTA</t>
  </si>
  <si>
    <t>#2 malagasang 2C imus cavite, Malagasang II-G, Imus, South Luzon, Cavite, 4103</t>
  </si>
  <si>
    <t>Black #17</t>
  </si>
  <si>
    <t>251115SMY2M0F3</t>
  </si>
  <si>
    <t>Cogonan Elementary School, Cogunan, Cogunan, Nasugbu, South Luzon, Batangas, 4321</t>
  </si>
  <si>
    <t>251115SYAS1Q33</t>
  </si>
  <si>
    <t>Sitio maglinte, Mayabon, Zamboanguita, Visayas, Negros Oriental, 6218</t>
  </si>
  <si>
    <t>251115TETYNRWR</t>
  </si>
  <si>
    <t>Magsaysay street, brgy.. Bunga, cabucgayan, biliran, Bunga, Cabucgayan, Visayas, Biliran, 6550</t>
  </si>
  <si>
    <t>251116TY8PG6WF</t>
  </si>
  <si>
    <t>Kamias Street,252, Castanos Cerca, General Emilio Aguinaldo, South Luzon, Cavite, 4124</t>
  </si>
  <si>
    <t>Maroon #61</t>
  </si>
  <si>
    <t>251116UA9ACA2W</t>
  </si>
  <si>
    <t>Purok P Kabulihan, Casay, Casay, Argao, Visayas, Cebu, 6021</t>
  </si>
  <si>
    <t>251116UNKUUB9N</t>
  </si>
  <si>
    <t>Sitio Kibakib, Subec, Pagudpud, North Luzon, Ilocos Norte, 2919</t>
  </si>
  <si>
    <t>251116UQUR2YXD</t>
  </si>
  <si>
    <t>ph1blk10Lot3sec6 pabahay bagtas, Bagtas, Tanza, South Luzon, Cavite, 4108</t>
  </si>
  <si>
    <t>251116UW35UTSC</t>
  </si>
  <si>
    <t>Purok Bulho, Bulho, Bulho, San Joaquin, Visayas, Iloilo, 5024</t>
  </si>
  <si>
    <t>251116UW6HMVN3</t>
  </si>
  <si>
    <t xml:space="preserve">Zone 06, Maluyo, Maluyo, Allacapan, North Luzon, Cagayan, 3535
</t>
  </si>
  <si>
    <t>251116V07D340T</t>
  </si>
  <si>
    <t>Ilang ilang Street, Zone 1 Bitaogan, Bitaogan, Presentacion, South Luzon, Camarines Sur, 4424</t>
  </si>
  <si>
    <t>251116V1864R93</t>
  </si>
  <si>
    <t>Purok2 Silangan, Paliparan, Paliparan, Laurel, South Luzon, Batangas, 4221</t>
  </si>
  <si>
    <t>251116V41SSCY8</t>
  </si>
  <si>
    <t>prk.sandra brgy. tinampaan cadiz city, Tinampa-An, Cadiz City, Visayas, Negros Occidental, 6121</t>
  </si>
  <si>
    <t>251116V4TUT4VF</t>
  </si>
  <si>
    <t>123, Villa Pag-Asa, Bansud, South Luzon, Oriental Mindoro, 5210</t>
  </si>
  <si>
    <t>251116V9S7NNAN</t>
  </si>
  <si>
    <t>3Zone 7 Purok 7, Mabini, Mabini, Gamu, North Luzon, Isabela, 3301</t>
  </si>
  <si>
    <t>251116VC645SGV</t>
  </si>
  <si>
    <t>TO SHIP</t>
  </si>
  <si>
    <t>Block 23 Lot 25 Masayahin Street, Pamayanang Maliksi, Pasong Kawayan Ii, Pasong Kawayan Ii, General Trias, South Luzon, Cavite, 4108</t>
  </si>
  <si>
    <t>251116VVP0KXK5</t>
  </si>
  <si>
    <t>urok 2, San Isidro, Zumarraga, Visayas, Western Samar, 0050</t>
  </si>
  <si>
    <t>25111602A419W3</t>
  </si>
  <si>
    <t>392 Brgy.4 poblacion alaminos,laguna, Barangay Iv (Pob.), Alaminos, South Luzon, Laguna, 4001</t>
  </si>
  <si>
    <t>2511170BN72G7U</t>
  </si>
  <si>
    <t>131 saint Bernadette st maricaban baranggay 179, Barangay 179, Pasay City, Metro Manila, Metro Manila, 1300</t>
  </si>
  <si>
    <t>2511170CFYFKDM</t>
  </si>
  <si>
    <t>RHEA ST. CORPUZ APARTMENT #A APOLLO VILLAGE ORANI BATAAN, Apollo, Orani, North Luzon, Bataan, 2112</t>
  </si>
  <si>
    <t>2511170THU7ED6</t>
  </si>
  <si>
    <t>Manuel L. Quezon Ave, Poblacion(tabi ng rusi), Poblacion, Teresa, South Luzon, Rizal, 1880</t>
  </si>
  <si>
    <t>2511171K1QNW2U</t>
  </si>
  <si>
    <t xml:space="preserve"> Bulan, South Luzon, Sorsogon, 4706</t>
  </si>
  <si>
    <t>SHOPEE SALES</t>
  </si>
  <si>
    <t xml:space="preserve">AMOUNT </t>
  </si>
  <si>
    <t xml:space="preserve">Plain Fabric </t>
  </si>
  <si>
    <t xml:space="preserve">Sold </t>
  </si>
  <si>
    <t>Yards Available</t>
  </si>
  <si>
    <t xml:space="preserve">Printed Fabric </t>
  </si>
  <si>
    <t xml:space="preserve">AT SORTING FACILITY </t>
  </si>
  <si>
    <t>DELIVERY ATTEMPT</t>
  </si>
  <si>
    <t>TIKTOK SALES</t>
  </si>
  <si>
    <t xml:space="preserve">DATE </t>
  </si>
  <si>
    <t>DAILY SALE</t>
  </si>
  <si>
    <t xml:space="preserve">Total Yard Sold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</si>
</sst>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7">
    <xf numFmtId="0" fontId="0" fillId="0" borderId="0" xfId="0"/>
    <xf numFmtId="14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43" fontId="0" fillId="4" borderId="5" xfId="1" applyFont="1" applyFill="1" applyBorder="1" applyAlignment="1">
      <alignment horizontal="center" vertical="center" wrapText="1"/>
    </xf>
    <xf numFmtId="43" fontId="0" fillId="4" borderId="2" xfId="1" applyFont="1" applyFill="1" applyBorder="1" applyAlignment="1">
      <alignment horizontal="center" vertical="center" wrapText="1"/>
    </xf>
    <xf numFmtId="43" fontId="0" fillId="4" borderId="6" xfId="1" applyFont="1" applyFill="1" applyBorder="1" applyAlignment="1">
      <alignment horizontal="center" vertical="center" wrapText="1"/>
    </xf>
    <xf numFmtId="43" fontId="0" fillId="5" borderId="1" xfId="1" applyFont="1" applyFill="1" applyBorder="1" applyAlignment="1">
      <alignment horizontal="center" vertical="center" wrapText="1"/>
    </xf>
    <xf numFmtId="43" fontId="0" fillId="5" borderId="2" xfId="1" applyFont="1" applyFill="1" applyBorder="1" applyAlignment="1">
      <alignment horizontal="center" vertical="center" wrapText="1"/>
    </xf>
    <xf numFmtId="43" fontId="0" fillId="5" borderId="6" xfId="1" applyFont="1" applyFill="1" applyBorder="1" applyAlignment="1">
      <alignment horizontal="center" vertical="center" wrapText="1"/>
    </xf>
    <xf numFmtId="43" fontId="0" fillId="5" borderId="3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/>
    </xf>
    <xf numFmtId="14" fontId="0" fillId="2" borderId="6" xfId="0" applyNumberFormat="1" applyFill="1" applyBorder="1" applyAlignment="1">
      <alignment wrapText="1"/>
    </xf>
    <xf numFmtId="0" fontId="0" fillId="3" borderId="2" xfId="0" applyFill="1" applyBorder="1" applyAlignment="1">
      <alignment horizontal="center" wrapText="1"/>
    </xf>
    <xf numFmtId="43" fontId="0" fillId="4" borderId="5" xfId="1" applyFont="1" applyFill="1" applyBorder="1"/>
    <xf numFmtId="43" fontId="0" fillId="4" borderId="2" xfId="1" applyFont="1" applyFill="1" applyBorder="1"/>
    <xf numFmtId="43" fontId="0" fillId="4" borderId="6" xfId="1" applyFont="1" applyFill="1" applyBorder="1"/>
    <xf numFmtId="43" fontId="0" fillId="5" borderId="1" xfId="1" applyFont="1" applyFill="1" applyBorder="1"/>
    <xf numFmtId="43" fontId="0" fillId="5" borderId="2" xfId="1" applyFont="1" applyFill="1" applyBorder="1"/>
    <xf numFmtId="43" fontId="0" fillId="5" borderId="6" xfId="1" applyFont="1" applyFill="1" applyBorder="1"/>
    <xf numFmtId="43" fontId="0" fillId="5" borderId="3" xfId="1" applyFont="1" applyFill="1" applyBorder="1"/>
    <xf numFmtId="14" fontId="0" fillId="2" borderId="2" xfId="0" applyNumberFormat="1" applyFill="1" applyBorder="1" applyAlignment="1">
      <alignment horizontal="center" wrapText="1"/>
    </xf>
    <xf numFmtId="14" fontId="0" fillId="3" borderId="2" xfId="0" applyNumberFormat="1" applyFill="1" applyBorder="1" applyAlignment="1">
      <alignment horizontal="center" wrapText="1"/>
    </xf>
    <xf numFmtId="0" fontId="0" fillId="2" borderId="6" xfId="0" applyFill="1" applyBorder="1" applyAlignment="1">
      <alignment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7" xfId="0" applyFill="1" applyBorder="1" applyAlignment="1">
      <alignment horizontal="center" vertical="center"/>
    </xf>
    <xf numFmtId="12" fontId="0" fillId="4" borderId="2" xfId="1" applyNumberFormat="1" applyFont="1" applyFill="1" applyBorder="1"/>
    <xf numFmtId="0" fontId="0" fillId="2" borderId="1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0" fillId="2" borderId="14" xfId="0" applyFill="1" applyBorder="1" applyAlignment="1">
      <alignment horizontal="center" vertical="center"/>
    </xf>
    <xf numFmtId="43" fontId="0" fillId="5" borderId="16" xfId="1" applyFont="1" applyFill="1" applyBorder="1"/>
    <xf numFmtId="43" fontId="0" fillId="5" borderId="7" xfId="1" applyFont="1" applyFill="1" applyBorder="1"/>
    <xf numFmtId="43" fontId="0" fillId="5" borderId="11" xfId="1" applyFont="1" applyFill="1" applyBorder="1"/>
    <xf numFmtId="0" fontId="0" fillId="2" borderId="7" xfId="0" applyFill="1" applyBorder="1" applyAlignment="1">
      <alignment horizontal="center" vertical="center" wrapText="1"/>
    </xf>
    <xf numFmtId="14" fontId="0" fillId="2" borderId="7" xfId="0" applyNumberFormat="1" applyFill="1" applyBorder="1" applyAlignment="1">
      <alignment horizontal="center" wrapText="1"/>
    </xf>
    <xf numFmtId="0" fontId="0" fillId="2" borderId="11" xfId="0" applyFill="1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wrapText="1"/>
    </xf>
    <xf numFmtId="0" fontId="0" fillId="7" borderId="13" xfId="0" applyFill="1" applyBorder="1" applyAlignment="1">
      <alignment wrapText="1"/>
    </xf>
    <xf numFmtId="0" fontId="0" fillId="7" borderId="2" xfId="0" applyFill="1" applyBorder="1" applyAlignment="1">
      <alignment horizontal="center" wrapText="1"/>
    </xf>
    <xf numFmtId="43" fontId="0" fillId="7" borderId="5" xfId="1" applyFont="1" applyFill="1" applyBorder="1"/>
    <xf numFmtId="43" fontId="0" fillId="7" borderId="2" xfId="1" applyFont="1" applyFill="1" applyBorder="1"/>
    <xf numFmtId="43" fontId="0" fillId="7" borderId="6" xfId="1" applyFont="1" applyFill="1" applyBorder="1"/>
    <xf numFmtId="43" fontId="0" fillId="7" borderId="16" xfId="1" applyFont="1" applyFill="1" applyBorder="1"/>
    <xf numFmtId="43" fontId="0" fillId="7" borderId="7" xfId="1" applyFont="1" applyFill="1" applyBorder="1"/>
    <xf numFmtId="43" fontId="0" fillId="7" borderId="11" xfId="1" applyFont="1" applyFill="1" applyBorder="1"/>
    <xf numFmtId="43" fontId="0" fillId="7" borderId="3" xfId="1" applyFont="1" applyFill="1" applyBorder="1"/>
    <xf numFmtId="0" fontId="0" fillId="2" borderId="7" xfId="0" applyFill="1" applyBorder="1" applyAlignment="1">
      <alignment horizontal="center" vertical="center" wrapText="1"/>
    </xf>
    <xf numFmtId="43" fontId="0" fillId="5" borderId="17" xfId="1" applyFont="1" applyFill="1" applyBorder="1"/>
    <xf numFmtId="14" fontId="0" fillId="2" borderId="12" xfId="0" applyNumberFormat="1" applyFill="1" applyBorder="1" applyAlignment="1">
      <alignment horizontal="center" wrapText="1"/>
    </xf>
    <xf numFmtId="0" fontId="0" fillId="2" borderId="13" xfId="0" applyFill="1" applyBorder="1" applyAlignment="1">
      <alignment wrapText="1"/>
    </xf>
    <xf numFmtId="14" fontId="0" fillId="2" borderId="7" xfId="0" applyNumberFormat="1" applyFill="1" applyBorder="1" applyAlignment="1">
      <alignment wrapText="1"/>
    </xf>
    <xf numFmtId="0" fontId="0" fillId="2" borderId="7" xfId="0" applyFill="1" applyBorder="1" applyAlignment="1">
      <alignment horizontal="center" wrapText="1"/>
    </xf>
    <xf numFmtId="0" fontId="0" fillId="8" borderId="7" xfId="0" applyFill="1" applyBorder="1" applyAlignment="1">
      <alignment horizontal="center" vertical="center"/>
    </xf>
    <xf numFmtId="14" fontId="0" fillId="2" borderId="7" xfId="0" applyNumberFormat="1" applyFill="1" applyBorder="1" applyAlignment="1">
      <alignment vertical="center"/>
    </xf>
    <xf numFmtId="0" fontId="0" fillId="7" borderId="7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wrapText="1"/>
    </xf>
    <xf numFmtId="0" fontId="0" fillId="7" borderId="11" xfId="0" applyFill="1" applyBorder="1" applyAlignment="1">
      <alignment wrapText="1"/>
    </xf>
    <xf numFmtId="43" fontId="0" fillId="7" borderId="17" xfId="1" applyFont="1" applyFill="1" applyBorder="1"/>
    <xf numFmtId="0" fontId="0" fillId="2" borderId="2" xfId="0" applyFill="1" applyBorder="1" applyAlignment="1">
      <alignment wrapText="1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8" xfId="0" applyFill="1" applyBorder="1" applyAlignment="1">
      <alignment wrapText="1"/>
    </xf>
    <xf numFmtId="43" fontId="0" fillId="5" borderId="8" xfId="1" applyFont="1" applyFill="1" applyBorder="1"/>
    <xf numFmtId="43" fontId="0" fillId="5" borderId="9" xfId="1" applyFont="1" applyFill="1" applyBorder="1"/>
    <xf numFmtId="43" fontId="0" fillId="5" borderId="18" xfId="1" applyFont="1" applyFill="1" applyBorder="1"/>
    <xf numFmtId="43" fontId="0" fillId="5" borderId="10" xfId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3" fontId="0" fillId="0" borderId="0" xfId="0" applyNumberFormat="1"/>
    <xf numFmtId="0" fontId="3" fillId="0" borderId="2" xfId="0" applyFont="1" applyBorder="1" applyAlignment="1">
      <alignment horizontal="center"/>
    </xf>
    <xf numFmtId="43" fontId="4" fillId="0" borderId="2" xfId="1" applyFont="1" applyBorder="1" applyAlignment="1">
      <alignment horizontal="center"/>
    </xf>
    <xf numFmtId="43" fontId="0" fillId="0" borderId="0" xfId="0" applyNumberFormat="1" applyAlignment="1">
      <alignment wrapText="1"/>
    </xf>
    <xf numFmtId="0" fontId="5" fillId="0" borderId="2" xfId="0" applyFont="1" applyBorder="1" applyAlignment="1">
      <alignment horizontal="center"/>
    </xf>
    <xf numFmtId="0" fontId="6" fillId="0" borderId="0" xfId="0" applyFont="1"/>
    <xf numFmtId="0" fontId="6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43" fontId="3" fillId="0" borderId="0" xfId="0" applyNumberFormat="1" applyFont="1" applyAlignment="1">
      <alignment horizontal="center"/>
    </xf>
    <xf numFmtId="14" fontId="6" fillId="3" borderId="2" xfId="0" applyNumberFormat="1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7" fillId="0" borderId="0" xfId="0" applyFont="1" applyFill="1" applyBorder="1" applyAlignment="1">
      <alignment horizontal="center" wrapText="1"/>
    </xf>
    <xf numFmtId="14" fontId="8" fillId="0" borderId="2" xfId="0" applyNumberFormat="1" applyFont="1" applyBorder="1" applyAlignment="1">
      <alignment horizontal="center"/>
    </xf>
    <xf numFmtId="43" fontId="8" fillId="0" borderId="2" xfId="1" applyFont="1" applyBorder="1"/>
    <xf numFmtId="43" fontId="8" fillId="0" borderId="2" xfId="1" applyFont="1" applyBorder="1" applyAlignment="1"/>
    <xf numFmtId="0" fontId="8" fillId="0" borderId="0" xfId="0" applyFont="1" applyAlignment="1">
      <alignment horizontal="center"/>
    </xf>
    <xf numFmtId="43" fontId="8" fillId="0" borderId="0" xfId="1" applyFont="1"/>
    <xf numFmtId="14" fontId="4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7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0" fillId="2" borderId="7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6" borderId="1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wrapText="1"/>
    </xf>
    <xf numFmtId="14" fontId="0" fillId="2" borderId="7" xfId="0" applyNumberFormat="1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1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3" xfId="0" applyFill="1" applyBorder="1" applyAlignment="1">
      <alignment wrapText="1"/>
    </xf>
    <xf numFmtId="0" fontId="4" fillId="0" borderId="0" xfId="0" applyFont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21"/>
  <sheetViews>
    <sheetView tabSelected="1" zoomScale="85" zoomScaleNormal="85" workbookViewId="0">
      <pane ySplit="1" topLeftCell="A176" activePane="bottomLeft" state="frozen"/>
      <selection pane="bottomLeft" activeCell="X140" sqref="A138:X140"/>
    </sheetView>
  </sheetViews>
  <sheetFormatPr defaultRowHeight="33" customHeight="1" x14ac:dyDescent="0.25"/>
  <cols>
    <col min="2" max="2" width="18" style="77" customWidth="1"/>
    <col min="3" max="3" width="25" customWidth="1"/>
    <col min="4" max="4" width="18.85546875" customWidth="1"/>
    <col min="5" max="5" width="28.42578125" style="77" customWidth="1"/>
    <col min="6" max="6" width="13.42578125" customWidth="1"/>
    <col min="7" max="7" width="78" style="78" customWidth="1"/>
    <col min="8" max="8" width="21.7109375" customWidth="1"/>
    <col min="9" max="9" width="13.5703125" customWidth="1"/>
    <col min="10" max="10" width="17" customWidth="1"/>
    <col min="11" max="11" width="24.140625" customWidth="1"/>
    <col min="12" max="25" width="13.5703125" customWidth="1"/>
  </cols>
  <sheetData>
    <row r="1" spans="2:26" ht="33" customHeight="1" x14ac:dyDescent="0.25">
      <c r="B1" s="1" t="s">
        <v>0</v>
      </c>
      <c r="C1" s="2" t="s">
        <v>1</v>
      </c>
      <c r="D1" s="2" t="s">
        <v>2</v>
      </c>
      <c r="E1" s="4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7" t="s">
        <v>16</v>
      </c>
      <c r="S1" s="8" t="s">
        <v>17</v>
      </c>
      <c r="T1" s="9" t="s">
        <v>18</v>
      </c>
      <c r="U1" s="9" t="s">
        <v>19</v>
      </c>
      <c r="V1" s="9" t="s">
        <v>20</v>
      </c>
      <c r="W1" s="10" t="s">
        <v>21</v>
      </c>
      <c r="X1" s="10" t="s">
        <v>22</v>
      </c>
      <c r="Y1" s="11" t="s">
        <v>23</v>
      </c>
      <c r="Z1" s="12"/>
    </row>
    <row r="2" spans="2:26" ht="33" customHeight="1" x14ac:dyDescent="0.25">
      <c r="B2" s="13">
        <v>45960</v>
      </c>
      <c r="C2" s="14" t="s">
        <v>24</v>
      </c>
      <c r="D2" s="2" t="s">
        <v>25</v>
      </c>
      <c r="E2" s="42" t="s">
        <v>26</v>
      </c>
      <c r="F2" s="15">
        <v>45961</v>
      </c>
      <c r="G2" s="16" t="s">
        <v>27</v>
      </c>
      <c r="H2" s="17" t="s">
        <v>28</v>
      </c>
      <c r="I2" s="18">
        <v>39</v>
      </c>
      <c r="J2" s="19">
        <v>3</v>
      </c>
      <c r="K2" s="19">
        <f>I2*J2</f>
        <v>117</v>
      </c>
      <c r="L2" s="19">
        <v>0</v>
      </c>
      <c r="M2" s="19">
        <v>-36</v>
      </c>
      <c r="N2" s="19">
        <v>36</v>
      </c>
      <c r="O2" s="19">
        <v>-7</v>
      </c>
      <c r="P2" s="19">
        <v>-3</v>
      </c>
      <c r="Q2" s="19">
        <v>-0.54</v>
      </c>
      <c r="R2" s="20">
        <f t="shared" ref="R2:R65" si="0">SUM(K2:Q2)</f>
        <v>106.46</v>
      </c>
      <c r="S2" s="21">
        <v>117</v>
      </c>
      <c r="T2" s="22">
        <v>0</v>
      </c>
      <c r="U2" s="22">
        <v>0</v>
      </c>
      <c r="V2" s="22">
        <v>0</v>
      </c>
      <c r="W2" s="23"/>
      <c r="X2" s="23"/>
      <c r="Y2" s="24">
        <f>SUM(S2:W2)</f>
        <v>117</v>
      </c>
    </row>
    <row r="3" spans="2:26" ht="33" customHeight="1" x14ac:dyDescent="0.25">
      <c r="B3" s="13">
        <v>45961</v>
      </c>
      <c r="C3" s="14" t="s">
        <v>29</v>
      </c>
      <c r="D3" s="2" t="s">
        <v>30</v>
      </c>
      <c r="E3" s="42" t="s">
        <v>26</v>
      </c>
      <c r="F3" s="25">
        <v>45971</v>
      </c>
      <c r="G3" s="16" t="s">
        <v>31</v>
      </c>
      <c r="H3" s="26" t="s">
        <v>32</v>
      </c>
      <c r="I3" s="18">
        <v>29</v>
      </c>
      <c r="J3" s="19">
        <v>20</v>
      </c>
      <c r="K3" s="19">
        <f>I3*J3</f>
        <v>580</v>
      </c>
      <c r="L3" s="19">
        <v>0</v>
      </c>
      <c r="M3" s="19">
        <v>0</v>
      </c>
      <c r="N3" s="19">
        <v>0</v>
      </c>
      <c r="O3" s="19">
        <v>-32</v>
      </c>
      <c r="P3" s="19">
        <v>-13</v>
      </c>
      <c r="Q3" s="19">
        <v>-2.68</v>
      </c>
      <c r="R3" s="20">
        <f t="shared" si="0"/>
        <v>532.32000000000005</v>
      </c>
      <c r="S3" s="21">
        <v>580</v>
      </c>
      <c r="T3" s="22">
        <v>0</v>
      </c>
      <c r="U3" s="22">
        <v>-87</v>
      </c>
      <c r="V3" s="22">
        <v>0</v>
      </c>
      <c r="W3" s="23"/>
      <c r="X3" s="23"/>
      <c r="Y3" s="24">
        <f>SUM(S3:W3)</f>
        <v>493</v>
      </c>
    </row>
    <row r="4" spans="2:26" ht="33" customHeight="1" x14ac:dyDescent="0.25">
      <c r="B4" s="13">
        <v>45962</v>
      </c>
      <c r="C4" s="14" t="s">
        <v>33</v>
      </c>
      <c r="D4" s="14" t="s">
        <v>34</v>
      </c>
      <c r="E4" s="41" t="s">
        <v>26</v>
      </c>
      <c r="F4" s="25">
        <v>45966</v>
      </c>
      <c r="G4" s="27" t="s">
        <v>35</v>
      </c>
      <c r="H4" s="17" t="s">
        <v>36</v>
      </c>
      <c r="I4" s="18">
        <v>39</v>
      </c>
      <c r="J4" s="19">
        <v>1</v>
      </c>
      <c r="K4" s="19">
        <f>I4*J4</f>
        <v>39</v>
      </c>
      <c r="L4" s="19">
        <v>0</v>
      </c>
      <c r="M4" s="19">
        <v>-120</v>
      </c>
      <c r="N4" s="19">
        <v>120</v>
      </c>
      <c r="O4" s="19">
        <v>-2</v>
      </c>
      <c r="P4" s="19">
        <v>-1</v>
      </c>
      <c r="Q4" s="19">
        <v>-0.18</v>
      </c>
      <c r="R4" s="20">
        <f t="shared" si="0"/>
        <v>35.82</v>
      </c>
      <c r="S4" s="21">
        <v>39</v>
      </c>
      <c r="T4" s="22">
        <v>0</v>
      </c>
      <c r="U4" s="22">
        <v>0</v>
      </c>
      <c r="V4" s="22">
        <v>0</v>
      </c>
      <c r="W4" s="23"/>
      <c r="X4" s="23"/>
      <c r="Y4" s="24">
        <f>SUM(S4:W4)</f>
        <v>39</v>
      </c>
    </row>
    <row r="5" spans="2:26" ht="33" customHeight="1" x14ac:dyDescent="0.25">
      <c r="B5" s="13">
        <v>45962</v>
      </c>
      <c r="C5" s="14" t="s">
        <v>37</v>
      </c>
      <c r="D5" s="14" t="s">
        <v>34</v>
      </c>
      <c r="E5" s="41" t="s">
        <v>26</v>
      </c>
      <c r="F5" s="25">
        <v>45964</v>
      </c>
      <c r="G5" s="27" t="s">
        <v>38</v>
      </c>
      <c r="H5" s="17" t="s">
        <v>39</v>
      </c>
      <c r="I5" s="18">
        <v>39</v>
      </c>
      <c r="J5" s="19">
        <v>4</v>
      </c>
      <c r="K5" s="19">
        <f>I5*J5</f>
        <v>156</v>
      </c>
      <c r="L5" s="19">
        <v>0</v>
      </c>
      <c r="M5" s="19">
        <v>58</v>
      </c>
      <c r="N5" s="19">
        <v>-58</v>
      </c>
      <c r="O5" s="19">
        <v>-9</v>
      </c>
      <c r="P5" s="19">
        <v>-3</v>
      </c>
      <c r="Q5" s="19">
        <v>-0.72</v>
      </c>
      <c r="R5" s="20">
        <f t="shared" si="0"/>
        <v>143.28</v>
      </c>
      <c r="S5" s="21">
        <v>156</v>
      </c>
      <c r="T5" s="22">
        <v>0</v>
      </c>
      <c r="U5" s="22">
        <v>0</v>
      </c>
      <c r="V5" s="22">
        <v>0</v>
      </c>
      <c r="W5" s="23"/>
      <c r="X5" s="23"/>
      <c r="Y5" s="24">
        <f>SUM(S5:W5)</f>
        <v>156</v>
      </c>
    </row>
    <row r="6" spans="2:26" ht="33" customHeight="1" x14ac:dyDescent="0.25">
      <c r="B6" s="13">
        <v>45962</v>
      </c>
      <c r="C6" s="14" t="s">
        <v>40</v>
      </c>
      <c r="D6" s="14" t="s">
        <v>34</v>
      </c>
      <c r="E6" s="41" t="s">
        <v>26</v>
      </c>
      <c r="F6" s="25">
        <v>45969</v>
      </c>
      <c r="G6" s="27" t="s">
        <v>41</v>
      </c>
      <c r="H6" s="17" t="s">
        <v>42</v>
      </c>
      <c r="I6" s="18">
        <v>29</v>
      </c>
      <c r="J6" s="19">
        <v>5</v>
      </c>
      <c r="K6" s="19">
        <f t="shared" ref="K6:K70" si="1">I6*J6</f>
        <v>145</v>
      </c>
      <c r="L6" s="19">
        <v>50</v>
      </c>
      <c r="M6" s="19">
        <v>-120</v>
      </c>
      <c r="N6" s="19">
        <v>70</v>
      </c>
      <c r="O6" s="19">
        <v>-8</v>
      </c>
      <c r="P6" s="19">
        <v>-4</v>
      </c>
      <c r="Q6" s="19">
        <v>-0.67</v>
      </c>
      <c r="R6" s="20">
        <f t="shared" si="0"/>
        <v>132.33000000000001</v>
      </c>
      <c r="S6" s="21">
        <v>145</v>
      </c>
      <c r="T6" s="22">
        <v>50</v>
      </c>
      <c r="U6" s="22">
        <v>0</v>
      </c>
      <c r="V6" s="22">
        <v>0</v>
      </c>
      <c r="W6" s="23"/>
      <c r="X6" s="23"/>
      <c r="Y6" s="24">
        <f t="shared" ref="Y6:Y54" si="2">SUM(S6:W6)</f>
        <v>195</v>
      </c>
    </row>
    <row r="7" spans="2:26" ht="33" customHeight="1" x14ac:dyDescent="0.25">
      <c r="B7" s="13">
        <v>45962</v>
      </c>
      <c r="C7" s="14" t="s">
        <v>43</v>
      </c>
      <c r="D7" s="14" t="s">
        <v>34</v>
      </c>
      <c r="E7" s="41" t="s">
        <v>26</v>
      </c>
      <c r="F7" s="25">
        <v>45967</v>
      </c>
      <c r="G7" s="27" t="s">
        <v>44</v>
      </c>
      <c r="H7" s="17" t="s">
        <v>45</v>
      </c>
      <c r="I7" s="18">
        <v>29</v>
      </c>
      <c r="J7" s="19">
        <v>10</v>
      </c>
      <c r="K7" s="19">
        <f t="shared" si="1"/>
        <v>290</v>
      </c>
      <c r="L7" s="19">
        <v>0</v>
      </c>
      <c r="M7" s="19">
        <v>-205</v>
      </c>
      <c r="N7" s="19">
        <v>205</v>
      </c>
      <c r="O7" s="19">
        <v>-16</v>
      </c>
      <c r="P7" s="19">
        <v>-6</v>
      </c>
      <c r="Q7" s="19">
        <v>-1.34</v>
      </c>
      <c r="R7" s="20">
        <f t="shared" si="0"/>
        <v>266.66000000000003</v>
      </c>
      <c r="S7" s="21">
        <v>290</v>
      </c>
      <c r="T7" s="22">
        <v>0</v>
      </c>
      <c r="U7" s="22">
        <v>0</v>
      </c>
      <c r="V7" s="22">
        <v>0</v>
      </c>
      <c r="W7" s="23"/>
      <c r="X7" s="23"/>
      <c r="Y7" s="24">
        <f t="shared" si="2"/>
        <v>290</v>
      </c>
    </row>
    <row r="8" spans="2:26" ht="33" customHeight="1" x14ac:dyDescent="0.25">
      <c r="B8" s="13">
        <v>45962</v>
      </c>
      <c r="C8" s="14" t="s">
        <v>46</v>
      </c>
      <c r="D8" s="14" t="s">
        <v>34</v>
      </c>
      <c r="E8" s="41" t="s">
        <v>26</v>
      </c>
      <c r="F8" s="25">
        <v>45968</v>
      </c>
      <c r="G8" s="27" t="s">
        <v>47</v>
      </c>
      <c r="H8" s="17" t="s">
        <v>48</v>
      </c>
      <c r="I8" s="18">
        <v>39</v>
      </c>
      <c r="J8" s="19">
        <v>11</v>
      </c>
      <c r="K8" s="19">
        <f t="shared" si="1"/>
        <v>429</v>
      </c>
      <c r="L8" s="19">
        <v>0</v>
      </c>
      <c r="M8" s="19">
        <v>-58</v>
      </c>
      <c r="N8" s="19">
        <v>58</v>
      </c>
      <c r="O8" s="19">
        <v>-24</v>
      </c>
      <c r="P8" s="19">
        <v>-10</v>
      </c>
      <c r="Q8" s="19">
        <v>-1.98</v>
      </c>
      <c r="R8" s="20">
        <f t="shared" si="0"/>
        <v>393.02</v>
      </c>
      <c r="S8" s="21">
        <v>429</v>
      </c>
      <c r="T8" s="22">
        <v>0</v>
      </c>
      <c r="U8" s="22">
        <v>-52</v>
      </c>
      <c r="V8" s="22">
        <v>0</v>
      </c>
      <c r="W8" s="23"/>
      <c r="X8" s="23"/>
      <c r="Y8" s="24">
        <f t="shared" si="2"/>
        <v>377</v>
      </c>
    </row>
    <row r="9" spans="2:26" ht="33" customHeight="1" x14ac:dyDescent="0.25">
      <c r="B9" s="13">
        <v>45962</v>
      </c>
      <c r="C9" s="14" t="s">
        <v>49</v>
      </c>
      <c r="D9" s="14" t="s">
        <v>34</v>
      </c>
      <c r="E9" s="41" t="s">
        <v>26</v>
      </c>
      <c r="F9" s="25">
        <v>45965</v>
      </c>
      <c r="G9" s="27" t="s">
        <v>50</v>
      </c>
      <c r="H9" s="17" t="s">
        <v>51</v>
      </c>
      <c r="I9" s="18">
        <v>39</v>
      </c>
      <c r="J9" s="19">
        <v>3</v>
      </c>
      <c r="K9" s="19">
        <f t="shared" si="1"/>
        <v>117</v>
      </c>
      <c r="L9" s="19">
        <v>0</v>
      </c>
      <c r="M9" s="19">
        <v>-36</v>
      </c>
      <c r="N9" s="19">
        <v>36</v>
      </c>
      <c r="O9" s="19">
        <v>-7</v>
      </c>
      <c r="P9" s="19">
        <v>-3</v>
      </c>
      <c r="Q9" s="19">
        <v>-0.54</v>
      </c>
      <c r="R9" s="20">
        <f t="shared" si="0"/>
        <v>106.46</v>
      </c>
      <c r="S9" s="21">
        <v>117</v>
      </c>
      <c r="T9" s="22">
        <v>0</v>
      </c>
      <c r="U9" s="22">
        <v>0</v>
      </c>
      <c r="V9" s="22">
        <v>0</v>
      </c>
      <c r="W9" s="23"/>
      <c r="X9" s="23"/>
      <c r="Y9" s="24">
        <f t="shared" si="2"/>
        <v>117</v>
      </c>
    </row>
    <row r="10" spans="2:26" ht="33" customHeight="1" x14ac:dyDescent="0.25">
      <c r="B10" s="13">
        <v>45962</v>
      </c>
      <c r="C10" s="14" t="s">
        <v>52</v>
      </c>
      <c r="D10" s="14" t="s">
        <v>34</v>
      </c>
      <c r="E10" s="41" t="s">
        <v>26</v>
      </c>
      <c r="F10" s="25">
        <v>45965</v>
      </c>
      <c r="G10" s="27" t="s">
        <v>50</v>
      </c>
      <c r="H10" s="17" t="s">
        <v>45</v>
      </c>
      <c r="I10" s="18">
        <v>30</v>
      </c>
      <c r="J10" s="19">
        <v>5</v>
      </c>
      <c r="K10" s="19">
        <f t="shared" si="1"/>
        <v>150</v>
      </c>
      <c r="L10" s="19">
        <v>72</v>
      </c>
      <c r="M10" s="19">
        <v>-112</v>
      </c>
      <c r="N10" s="19">
        <v>40</v>
      </c>
      <c r="O10" s="19">
        <v>-8</v>
      </c>
      <c r="P10" s="19">
        <v>-5</v>
      </c>
      <c r="Q10" s="19">
        <v>-0.69</v>
      </c>
      <c r="R10" s="20">
        <f t="shared" si="0"/>
        <v>136.31</v>
      </c>
      <c r="S10" s="21">
        <v>150</v>
      </c>
      <c r="T10" s="22">
        <v>72</v>
      </c>
      <c r="U10" s="22">
        <v>0</v>
      </c>
      <c r="V10" s="22">
        <v>0</v>
      </c>
      <c r="W10" s="23"/>
      <c r="X10" s="23"/>
      <c r="Y10" s="24">
        <f t="shared" si="2"/>
        <v>222</v>
      </c>
    </row>
    <row r="11" spans="2:26" ht="33" customHeight="1" x14ac:dyDescent="0.25">
      <c r="B11" s="13">
        <v>45963</v>
      </c>
      <c r="C11" s="14" t="s">
        <v>53</v>
      </c>
      <c r="D11" s="14" t="s">
        <v>34</v>
      </c>
      <c r="E11" s="41" t="s">
        <v>26</v>
      </c>
      <c r="F11" s="25">
        <v>45968</v>
      </c>
      <c r="G11" s="27" t="s">
        <v>54</v>
      </c>
      <c r="H11" s="17" t="s">
        <v>55</v>
      </c>
      <c r="I11" s="18">
        <v>39</v>
      </c>
      <c r="J11" s="19">
        <v>3</v>
      </c>
      <c r="K11" s="19">
        <f t="shared" si="1"/>
        <v>117</v>
      </c>
      <c r="L11" s="19">
        <v>8</v>
      </c>
      <c r="M11" s="19">
        <v>-58</v>
      </c>
      <c r="N11" s="19">
        <v>50</v>
      </c>
      <c r="O11" s="19">
        <v>-7</v>
      </c>
      <c r="P11" s="19">
        <v>-3</v>
      </c>
      <c r="Q11" s="19">
        <v>-0.54</v>
      </c>
      <c r="R11" s="20">
        <f t="shared" si="0"/>
        <v>106.46</v>
      </c>
      <c r="S11" s="21">
        <v>117</v>
      </c>
      <c r="T11" s="22">
        <v>8</v>
      </c>
      <c r="U11" s="22">
        <v>0</v>
      </c>
      <c r="V11" s="22">
        <v>0</v>
      </c>
      <c r="W11" s="23"/>
      <c r="X11" s="23"/>
      <c r="Y11" s="24">
        <f t="shared" si="2"/>
        <v>125</v>
      </c>
    </row>
    <row r="12" spans="2:26" ht="33" customHeight="1" x14ac:dyDescent="0.25">
      <c r="B12" s="28">
        <v>45963</v>
      </c>
      <c r="C12" s="14" t="s">
        <v>56</v>
      </c>
      <c r="D12" s="14" t="s">
        <v>34</v>
      </c>
      <c r="E12" s="41" t="s">
        <v>26</v>
      </c>
      <c r="F12" s="25">
        <v>45967</v>
      </c>
      <c r="G12" s="27" t="s">
        <v>57</v>
      </c>
      <c r="H12" s="17" t="s">
        <v>55</v>
      </c>
      <c r="I12" s="18">
        <v>39</v>
      </c>
      <c r="J12" s="19">
        <v>6</v>
      </c>
      <c r="K12" s="19">
        <f t="shared" si="1"/>
        <v>234</v>
      </c>
      <c r="L12" s="19">
        <v>0</v>
      </c>
      <c r="M12" s="19">
        <v>-36</v>
      </c>
      <c r="N12" s="19">
        <v>36</v>
      </c>
      <c r="O12" s="19">
        <v>-13</v>
      </c>
      <c r="P12" s="19">
        <v>-5</v>
      </c>
      <c r="Q12" s="19">
        <v>-1.08</v>
      </c>
      <c r="R12" s="20">
        <f t="shared" si="0"/>
        <v>214.92</v>
      </c>
      <c r="S12" s="21">
        <v>234</v>
      </c>
      <c r="T12" s="22">
        <v>0</v>
      </c>
      <c r="U12" s="22">
        <v>0</v>
      </c>
      <c r="V12" s="22">
        <v>0</v>
      </c>
      <c r="W12" s="23"/>
      <c r="X12" s="23"/>
      <c r="Y12" s="24">
        <f t="shared" si="2"/>
        <v>234</v>
      </c>
    </row>
    <row r="13" spans="2:26" ht="33" customHeight="1" x14ac:dyDescent="0.25">
      <c r="B13" s="13">
        <v>45963</v>
      </c>
      <c r="C13" s="14" t="s">
        <v>58</v>
      </c>
      <c r="D13" s="14" t="s">
        <v>34</v>
      </c>
      <c r="E13" s="41" t="s">
        <v>26</v>
      </c>
      <c r="F13" s="25">
        <v>45966</v>
      </c>
      <c r="G13" s="27" t="s">
        <v>59</v>
      </c>
      <c r="H13" s="17" t="s">
        <v>28</v>
      </c>
      <c r="I13" s="18">
        <v>39</v>
      </c>
      <c r="J13" s="19">
        <v>2</v>
      </c>
      <c r="K13" s="19">
        <f t="shared" si="1"/>
        <v>78</v>
      </c>
      <c r="L13" s="19">
        <v>0</v>
      </c>
      <c r="M13" s="19">
        <v>-36</v>
      </c>
      <c r="N13" s="19">
        <v>36</v>
      </c>
      <c r="O13" s="19">
        <v>-4</v>
      </c>
      <c r="P13" s="19">
        <v>-2</v>
      </c>
      <c r="Q13" s="19">
        <v>-0.36</v>
      </c>
      <c r="R13" s="20">
        <f t="shared" si="0"/>
        <v>71.64</v>
      </c>
      <c r="S13" s="21">
        <v>78</v>
      </c>
      <c r="T13" s="22">
        <v>0</v>
      </c>
      <c r="U13" s="22">
        <v>0</v>
      </c>
      <c r="V13" s="22">
        <v>0</v>
      </c>
      <c r="W13" s="23"/>
      <c r="X13" s="23"/>
      <c r="Y13" s="24">
        <f t="shared" si="2"/>
        <v>78</v>
      </c>
    </row>
    <row r="14" spans="2:26" ht="33" customHeight="1" x14ac:dyDescent="0.25">
      <c r="B14" s="13">
        <v>45963</v>
      </c>
      <c r="C14" s="14" t="s">
        <v>60</v>
      </c>
      <c r="D14" s="14" t="s">
        <v>34</v>
      </c>
      <c r="E14" s="41" t="s">
        <v>61</v>
      </c>
      <c r="F14" s="29"/>
      <c r="G14" s="27" t="s">
        <v>62</v>
      </c>
      <c r="H14" s="17" t="s">
        <v>63</v>
      </c>
      <c r="I14" s="18">
        <v>39</v>
      </c>
      <c r="J14" s="19">
        <v>10</v>
      </c>
      <c r="K14" s="19">
        <f t="shared" si="1"/>
        <v>390</v>
      </c>
      <c r="L14" s="19">
        <v>0</v>
      </c>
      <c r="M14" s="19">
        <v>-130</v>
      </c>
      <c r="N14" s="19">
        <v>130</v>
      </c>
      <c r="O14" s="19">
        <v>-22</v>
      </c>
      <c r="P14" s="19">
        <v>-9</v>
      </c>
      <c r="Q14" s="19">
        <v>-1.8</v>
      </c>
      <c r="R14" s="20">
        <f t="shared" si="0"/>
        <v>357.2</v>
      </c>
      <c r="S14" s="21">
        <v>390</v>
      </c>
      <c r="T14" s="22">
        <v>0</v>
      </c>
      <c r="U14" s="22">
        <v>0</v>
      </c>
      <c r="V14" s="22">
        <v>0</v>
      </c>
      <c r="W14" s="23"/>
      <c r="X14" s="23"/>
      <c r="Y14" s="24">
        <f t="shared" si="2"/>
        <v>390</v>
      </c>
    </row>
    <row r="15" spans="2:26" ht="33" customHeight="1" x14ac:dyDescent="0.25">
      <c r="B15" s="13">
        <v>45963</v>
      </c>
      <c r="C15" s="14" t="s">
        <v>64</v>
      </c>
      <c r="D15" s="14" t="s">
        <v>34</v>
      </c>
      <c r="E15" s="41" t="s">
        <v>26</v>
      </c>
      <c r="F15" s="25">
        <v>45968</v>
      </c>
      <c r="G15" s="27" t="s">
        <v>65</v>
      </c>
      <c r="H15" s="17" t="s">
        <v>66</v>
      </c>
      <c r="I15" s="18">
        <v>29</v>
      </c>
      <c r="J15" s="19">
        <v>6</v>
      </c>
      <c r="K15" s="19">
        <f t="shared" si="1"/>
        <v>174</v>
      </c>
      <c r="L15" s="19">
        <v>8</v>
      </c>
      <c r="M15" s="19">
        <v>-68</v>
      </c>
      <c r="N15" s="19">
        <v>60</v>
      </c>
      <c r="O15" s="19">
        <v>-10</v>
      </c>
      <c r="P15" s="19">
        <v>-4</v>
      </c>
      <c r="Q15" s="19">
        <v>-0.8</v>
      </c>
      <c r="R15" s="20">
        <f t="shared" si="0"/>
        <v>159.19999999999999</v>
      </c>
      <c r="S15" s="21">
        <v>174</v>
      </c>
      <c r="T15" s="22">
        <v>8</v>
      </c>
      <c r="U15" s="22">
        <v>0</v>
      </c>
      <c r="V15" s="22">
        <v>0</v>
      </c>
      <c r="W15" s="23"/>
      <c r="X15" s="23"/>
      <c r="Y15" s="24">
        <f t="shared" si="2"/>
        <v>182</v>
      </c>
    </row>
    <row r="16" spans="2:26" ht="33" customHeight="1" x14ac:dyDescent="0.25">
      <c r="B16" s="13">
        <v>45963</v>
      </c>
      <c r="C16" s="14" t="s">
        <v>67</v>
      </c>
      <c r="D16" s="14" t="s">
        <v>34</v>
      </c>
      <c r="E16" s="41" t="s">
        <v>26</v>
      </c>
      <c r="F16" s="29"/>
      <c r="G16" s="27" t="s">
        <v>68</v>
      </c>
      <c r="H16" s="17" t="s">
        <v>69</v>
      </c>
      <c r="I16" s="18">
        <v>29</v>
      </c>
      <c r="J16" s="19">
        <v>5</v>
      </c>
      <c r="K16" s="19">
        <f t="shared" si="1"/>
        <v>145</v>
      </c>
      <c r="L16" s="19">
        <v>53</v>
      </c>
      <c r="M16" s="19">
        <v>-193</v>
      </c>
      <c r="N16" s="19">
        <v>140</v>
      </c>
      <c r="O16" s="19">
        <v>-8</v>
      </c>
      <c r="P16" s="19">
        <v>-4</v>
      </c>
      <c r="Q16" s="19">
        <v>-0.67</v>
      </c>
      <c r="R16" s="20">
        <f t="shared" si="0"/>
        <v>132.33000000000001</v>
      </c>
      <c r="S16" s="21">
        <v>145</v>
      </c>
      <c r="T16" s="22">
        <v>53</v>
      </c>
      <c r="U16" s="22">
        <v>0</v>
      </c>
      <c r="V16" s="22">
        <v>0</v>
      </c>
      <c r="W16" s="23"/>
      <c r="X16" s="23"/>
      <c r="Y16" s="24">
        <f t="shared" si="2"/>
        <v>198</v>
      </c>
    </row>
    <row r="17" spans="2:25" ht="33" customHeight="1" x14ac:dyDescent="0.25">
      <c r="B17" s="13">
        <v>45963</v>
      </c>
      <c r="C17" s="14" t="s">
        <v>70</v>
      </c>
      <c r="D17" s="2" t="s">
        <v>71</v>
      </c>
      <c r="E17" s="42" t="s">
        <v>26</v>
      </c>
      <c r="F17" s="25">
        <v>45965</v>
      </c>
      <c r="G17" s="27" t="s">
        <v>72</v>
      </c>
      <c r="H17" s="17" t="s">
        <v>73</v>
      </c>
      <c r="I17" s="18">
        <v>29</v>
      </c>
      <c r="J17" s="19">
        <v>8</v>
      </c>
      <c r="K17" s="19">
        <f t="shared" si="1"/>
        <v>232</v>
      </c>
      <c r="L17" s="19">
        <v>0</v>
      </c>
      <c r="M17" s="19">
        <v>-36</v>
      </c>
      <c r="N17" s="19">
        <v>36</v>
      </c>
      <c r="O17" s="19">
        <v>-13</v>
      </c>
      <c r="P17" s="19">
        <v>-5</v>
      </c>
      <c r="Q17" s="19">
        <v>-1.07</v>
      </c>
      <c r="R17" s="20">
        <f t="shared" si="0"/>
        <v>212.93</v>
      </c>
      <c r="S17" s="21">
        <v>232</v>
      </c>
      <c r="T17" s="22">
        <v>0</v>
      </c>
      <c r="U17" s="22">
        <v>0</v>
      </c>
      <c r="V17" s="22">
        <v>0</v>
      </c>
      <c r="W17" s="23"/>
      <c r="X17" s="23"/>
      <c r="Y17" s="24">
        <f t="shared" si="2"/>
        <v>232</v>
      </c>
    </row>
    <row r="18" spans="2:25" ht="33" customHeight="1" x14ac:dyDescent="0.25">
      <c r="B18" s="13">
        <v>45964</v>
      </c>
      <c r="C18" s="14" t="s">
        <v>74</v>
      </c>
      <c r="D18" s="14"/>
      <c r="E18" s="41" t="s">
        <v>26</v>
      </c>
      <c r="F18" s="25">
        <v>45974</v>
      </c>
      <c r="G18" s="27" t="s">
        <v>75</v>
      </c>
      <c r="H18" s="17" t="s">
        <v>39</v>
      </c>
      <c r="I18" s="18">
        <v>39</v>
      </c>
      <c r="J18" s="19">
        <v>1</v>
      </c>
      <c r="K18" s="19">
        <f t="shared" si="1"/>
        <v>39</v>
      </c>
      <c r="L18" s="19">
        <v>45</v>
      </c>
      <c r="M18" s="19">
        <v>-115</v>
      </c>
      <c r="N18" s="19">
        <v>70</v>
      </c>
      <c r="O18" s="19">
        <v>-2</v>
      </c>
      <c r="P18" s="19">
        <v>-2</v>
      </c>
      <c r="Q18" s="19">
        <v>-0.18</v>
      </c>
      <c r="R18" s="20">
        <f t="shared" si="0"/>
        <v>34.82</v>
      </c>
      <c r="S18" s="21">
        <v>39</v>
      </c>
      <c r="T18" s="22">
        <v>45</v>
      </c>
      <c r="U18" s="22">
        <v>0</v>
      </c>
      <c r="V18" s="22">
        <v>0</v>
      </c>
      <c r="W18" s="23"/>
      <c r="X18" s="23"/>
      <c r="Y18" s="24">
        <f t="shared" si="2"/>
        <v>84</v>
      </c>
    </row>
    <row r="19" spans="2:25" ht="33" customHeight="1" x14ac:dyDescent="0.25">
      <c r="B19" s="13">
        <v>45964</v>
      </c>
      <c r="C19" s="14" t="s">
        <v>76</v>
      </c>
      <c r="D19" s="14"/>
      <c r="E19" s="41" t="s">
        <v>26</v>
      </c>
      <c r="F19" s="25">
        <v>45966</v>
      </c>
      <c r="G19" s="27" t="s">
        <v>77</v>
      </c>
      <c r="H19" s="17" t="s">
        <v>39</v>
      </c>
      <c r="I19" s="18">
        <v>39</v>
      </c>
      <c r="J19" s="19">
        <v>1</v>
      </c>
      <c r="K19" s="19">
        <f t="shared" si="1"/>
        <v>39</v>
      </c>
      <c r="L19" s="19">
        <v>33</v>
      </c>
      <c r="M19" s="19">
        <v>-58</v>
      </c>
      <c r="N19" s="19">
        <v>25</v>
      </c>
      <c r="O19" s="19">
        <v>-2</v>
      </c>
      <c r="P19" s="19">
        <v>-2</v>
      </c>
      <c r="Q19" s="19">
        <v>-0.18</v>
      </c>
      <c r="R19" s="20">
        <f t="shared" si="0"/>
        <v>34.82</v>
      </c>
      <c r="S19" s="21">
        <v>39</v>
      </c>
      <c r="T19" s="22">
        <v>33</v>
      </c>
      <c r="U19" s="22">
        <v>0</v>
      </c>
      <c r="V19" s="22">
        <v>0</v>
      </c>
      <c r="W19" s="23"/>
      <c r="X19" s="23"/>
      <c r="Y19" s="24">
        <f t="shared" si="2"/>
        <v>72</v>
      </c>
    </row>
    <row r="20" spans="2:25" ht="33" customHeight="1" x14ac:dyDescent="0.25">
      <c r="B20" s="13">
        <v>45965</v>
      </c>
      <c r="C20" s="14" t="s">
        <v>78</v>
      </c>
      <c r="D20" s="14"/>
      <c r="E20" s="41" t="s">
        <v>26</v>
      </c>
      <c r="F20" s="25">
        <v>45967</v>
      </c>
      <c r="G20" s="27" t="s">
        <v>79</v>
      </c>
      <c r="H20" s="17" t="s">
        <v>80</v>
      </c>
      <c r="I20" s="18">
        <v>39</v>
      </c>
      <c r="J20" s="19">
        <v>4</v>
      </c>
      <c r="K20" s="19">
        <f t="shared" si="1"/>
        <v>156</v>
      </c>
      <c r="L20" s="19">
        <v>8</v>
      </c>
      <c r="M20" s="19">
        <v>-58</v>
      </c>
      <c r="N20" s="19">
        <v>50</v>
      </c>
      <c r="O20" s="19">
        <v>-9</v>
      </c>
      <c r="P20" s="19">
        <v>-4</v>
      </c>
      <c r="Q20" s="19">
        <v>-0.72</v>
      </c>
      <c r="R20" s="20">
        <f t="shared" si="0"/>
        <v>142.28</v>
      </c>
      <c r="S20" s="21">
        <v>156</v>
      </c>
      <c r="T20" s="22">
        <v>8</v>
      </c>
      <c r="U20" s="22">
        <v>0</v>
      </c>
      <c r="V20" s="22">
        <v>0</v>
      </c>
      <c r="W20" s="23"/>
      <c r="X20" s="23"/>
      <c r="Y20" s="24">
        <f t="shared" si="2"/>
        <v>164</v>
      </c>
    </row>
    <row r="21" spans="2:25" ht="33" customHeight="1" x14ac:dyDescent="0.25">
      <c r="B21" s="13">
        <v>45965</v>
      </c>
      <c r="C21" s="14" t="s">
        <v>81</v>
      </c>
      <c r="D21" s="14"/>
      <c r="E21" s="41" t="s">
        <v>61</v>
      </c>
      <c r="F21" s="25">
        <v>45976</v>
      </c>
      <c r="G21" s="27" t="s">
        <v>82</v>
      </c>
      <c r="H21" s="17" t="s">
        <v>80</v>
      </c>
      <c r="I21" s="18">
        <v>39</v>
      </c>
      <c r="J21" s="19">
        <v>1</v>
      </c>
      <c r="K21" s="19">
        <f t="shared" si="1"/>
        <v>39</v>
      </c>
      <c r="L21" s="19">
        <v>105</v>
      </c>
      <c r="M21" s="19">
        <v>-140</v>
      </c>
      <c r="N21" s="19">
        <v>35</v>
      </c>
      <c r="O21" s="19">
        <v>-2</v>
      </c>
      <c r="P21" s="19">
        <v>-3</v>
      </c>
      <c r="Q21" s="19">
        <v>-0.17</v>
      </c>
      <c r="R21" s="20">
        <f t="shared" si="0"/>
        <v>33.83</v>
      </c>
      <c r="S21" s="21">
        <v>39</v>
      </c>
      <c r="T21" s="22">
        <v>105</v>
      </c>
      <c r="U21" s="22">
        <v>0</v>
      </c>
      <c r="V21" s="22">
        <v>0</v>
      </c>
      <c r="W21" s="23"/>
      <c r="X21" s="23"/>
      <c r="Y21" s="24">
        <f t="shared" si="2"/>
        <v>144</v>
      </c>
    </row>
    <row r="22" spans="2:25" ht="33" customHeight="1" x14ac:dyDescent="0.25">
      <c r="B22" s="13">
        <v>45965</v>
      </c>
      <c r="C22" s="14" t="s">
        <v>83</v>
      </c>
      <c r="D22" s="14"/>
      <c r="E22" s="41" t="s">
        <v>26</v>
      </c>
      <c r="F22" s="25">
        <v>45966</v>
      </c>
      <c r="G22" s="27" t="s">
        <v>84</v>
      </c>
      <c r="H22" s="17" t="s">
        <v>85</v>
      </c>
      <c r="I22" s="18">
        <v>29</v>
      </c>
      <c r="J22" s="19">
        <v>11</v>
      </c>
      <c r="K22" s="19">
        <f t="shared" si="1"/>
        <v>319</v>
      </c>
      <c r="L22" s="19">
        <v>0</v>
      </c>
      <c r="M22" s="19">
        <v>-290</v>
      </c>
      <c r="N22" s="19">
        <v>290</v>
      </c>
      <c r="O22" s="19">
        <v>-18</v>
      </c>
      <c r="P22" s="19">
        <v>-7</v>
      </c>
      <c r="Q22" s="19">
        <v>-1.47</v>
      </c>
      <c r="R22" s="20">
        <f t="shared" si="0"/>
        <v>292.52999999999997</v>
      </c>
      <c r="S22" s="21">
        <v>319</v>
      </c>
      <c r="T22" s="22">
        <v>0</v>
      </c>
      <c r="U22" s="22">
        <v>0</v>
      </c>
      <c r="V22" s="22">
        <v>0</v>
      </c>
      <c r="W22" s="23"/>
      <c r="X22" s="23"/>
      <c r="Y22" s="24">
        <f t="shared" si="2"/>
        <v>319</v>
      </c>
    </row>
    <row r="23" spans="2:25" ht="33" customHeight="1" x14ac:dyDescent="0.25">
      <c r="B23" s="13">
        <v>45965</v>
      </c>
      <c r="C23" s="14" t="s">
        <v>86</v>
      </c>
      <c r="D23" s="2" t="s">
        <v>87</v>
      </c>
      <c r="E23" s="41" t="s">
        <v>26</v>
      </c>
      <c r="F23" s="25">
        <v>45967</v>
      </c>
      <c r="G23" s="27" t="s">
        <v>88</v>
      </c>
      <c r="H23" s="17" t="s">
        <v>89</v>
      </c>
      <c r="I23" s="18">
        <v>29</v>
      </c>
      <c r="J23" s="19">
        <v>2</v>
      </c>
      <c r="K23" s="19">
        <f t="shared" si="1"/>
        <v>58</v>
      </c>
      <c r="L23" s="19">
        <v>58</v>
      </c>
      <c r="M23" s="19">
        <v>-58</v>
      </c>
      <c r="N23" s="19">
        <v>0</v>
      </c>
      <c r="O23" s="19">
        <v>-3</v>
      </c>
      <c r="P23" s="19">
        <v>-3</v>
      </c>
      <c r="Q23" s="19">
        <v>-0.26</v>
      </c>
      <c r="R23" s="20">
        <f t="shared" si="0"/>
        <v>51.74</v>
      </c>
      <c r="S23" s="21">
        <v>58</v>
      </c>
      <c r="T23" s="22">
        <v>58</v>
      </c>
      <c r="U23" s="22">
        <v>-7</v>
      </c>
      <c r="V23" s="22">
        <v>0</v>
      </c>
      <c r="W23" s="23"/>
      <c r="X23" s="23"/>
      <c r="Y23" s="24">
        <f t="shared" si="2"/>
        <v>109</v>
      </c>
    </row>
    <row r="24" spans="2:25" ht="33" customHeight="1" x14ac:dyDescent="0.25">
      <c r="B24" s="13">
        <v>45965</v>
      </c>
      <c r="C24" s="100" t="s">
        <v>90</v>
      </c>
      <c r="D24" s="100"/>
      <c r="E24" s="30" t="s">
        <v>26</v>
      </c>
      <c r="F24" s="112">
        <v>45968</v>
      </c>
      <c r="G24" s="116" t="s">
        <v>91</v>
      </c>
      <c r="H24" s="17" t="s">
        <v>89</v>
      </c>
      <c r="I24" s="18">
        <v>29</v>
      </c>
      <c r="J24" s="19">
        <v>21</v>
      </c>
      <c r="K24" s="19">
        <f t="shared" si="1"/>
        <v>609</v>
      </c>
      <c r="L24" s="19">
        <v>0</v>
      </c>
      <c r="M24" s="19">
        <f>-(21)</f>
        <v>-21</v>
      </c>
      <c r="N24" s="31">
        <v>21</v>
      </c>
      <c r="O24" s="19">
        <f>-(17.2)</f>
        <v>-17.2</v>
      </c>
      <c r="P24" s="19">
        <f>-(6.8)</f>
        <v>-6.8</v>
      </c>
      <c r="Q24" s="19">
        <f>-(7.09/5)</f>
        <v>-1.4179999999999999</v>
      </c>
      <c r="R24" s="20">
        <f t="shared" si="0"/>
        <v>583.58199999999999</v>
      </c>
      <c r="S24" s="21">
        <v>609</v>
      </c>
      <c r="T24" s="22">
        <v>0</v>
      </c>
      <c r="U24" s="22">
        <f>-(46.2)</f>
        <v>-46.2</v>
      </c>
      <c r="V24" s="22">
        <v>0</v>
      </c>
      <c r="W24" s="23"/>
      <c r="X24" s="23"/>
      <c r="Y24" s="24">
        <f t="shared" si="2"/>
        <v>562.79999999999995</v>
      </c>
    </row>
    <row r="25" spans="2:25" ht="33" customHeight="1" x14ac:dyDescent="0.25">
      <c r="B25" s="13">
        <v>45965</v>
      </c>
      <c r="C25" s="110"/>
      <c r="D25" s="110"/>
      <c r="E25" s="32" t="s">
        <v>26</v>
      </c>
      <c r="F25" s="113"/>
      <c r="G25" s="123"/>
      <c r="H25" s="17" t="s">
        <v>73</v>
      </c>
      <c r="I25" s="18">
        <v>29</v>
      </c>
      <c r="J25" s="19">
        <v>10</v>
      </c>
      <c r="K25" s="19">
        <f t="shared" si="1"/>
        <v>290</v>
      </c>
      <c r="L25" s="19">
        <v>0</v>
      </c>
      <c r="M25" s="19">
        <f>-(21)</f>
        <v>-21</v>
      </c>
      <c r="N25" s="31">
        <v>21</v>
      </c>
      <c r="O25" s="19">
        <f>-(17.2)</f>
        <v>-17.2</v>
      </c>
      <c r="P25" s="19">
        <f>-(6.8)</f>
        <v>-6.8</v>
      </c>
      <c r="Q25" s="19">
        <f>-(7.09/5)</f>
        <v>-1.4179999999999999</v>
      </c>
      <c r="R25" s="20">
        <f t="shared" si="0"/>
        <v>264.58199999999999</v>
      </c>
      <c r="S25" s="21">
        <v>290</v>
      </c>
      <c r="T25" s="22">
        <v>0</v>
      </c>
      <c r="U25" s="22">
        <f>-(46.2)</f>
        <v>-46.2</v>
      </c>
      <c r="V25" s="22">
        <v>0</v>
      </c>
      <c r="W25" s="23"/>
      <c r="X25" s="23"/>
      <c r="Y25" s="24">
        <f t="shared" si="2"/>
        <v>243.8</v>
      </c>
    </row>
    <row r="26" spans="2:25" ht="33" customHeight="1" x14ac:dyDescent="0.25">
      <c r="B26" s="13">
        <v>45965</v>
      </c>
      <c r="C26" s="110"/>
      <c r="D26" s="110"/>
      <c r="E26" s="32" t="s">
        <v>26</v>
      </c>
      <c r="F26" s="113"/>
      <c r="G26" s="123"/>
      <c r="H26" s="17" t="s">
        <v>92</v>
      </c>
      <c r="I26" s="18">
        <v>29</v>
      </c>
      <c r="J26" s="19">
        <v>8</v>
      </c>
      <c r="K26" s="19">
        <f t="shared" si="1"/>
        <v>232</v>
      </c>
      <c r="L26" s="19">
        <v>0</v>
      </c>
      <c r="M26" s="19">
        <f>-(21)</f>
        <v>-21</v>
      </c>
      <c r="N26" s="31">
        <v>21</v>
      </c>
      <c r="O26" s="19">
        <f>-(17.2)</f>
        <v>-17.2</v>
      </c>
      <c r="P26" s="19">
        <f>-(6.8)</f>
        <v>-6.8</v>
      </c>
      <c r="Q26" s="19">
        <f>-(7.09/5)</f>
        <v>-1.4179999999999999</v>
      </c>
      <c r="R26" s="20">
        <f t="shared" si="0"/>
        <v>206.58199999999999</v>
      </c>
      <c r="S26" s="21">
        <v>232</v>
      </c>
      <c r="T26" s="22">
        <v>0</v>
      </c>
      <c r="U26" s="22">
        <f>-(46.2)</f>
        <v>-46.2</v>
      </c>
      <c r="V26" s="22">
        <v>0</v>
      </c>
      <c r="W26" s="23"/>
      <c r="X26" s="23"/>
      <c r="Y26" s="24">
        <f t="shared" si="2"/>
        <v>185.8</v>
      </c>
    </row>
    <row r="27" spans="2:25" ht="33" customHeight="1" x14ac:dyDescent="0.25">
      <c r="B27" s="13">
        <v>45965</v>
      </c>
      <c r="C27" s="110"/>
      <c r="D27" s="110"/>
      <c r="E27" s="32" t="s">
        <v>26</v>
      </c>
      <c r="F27" s="113"/>
      <c r="G27" s="123"/>
      <c r="H27" s="33" t="s">
        <v>93</v>
      </c>
      <c r="I27" s="18">
        <v>29</v>
      </c>
      <c r="J27" s="19">
        <v>8</v>
      </c>
      <c r="K27" s="19">
        <f t="shared" si="1"/>
        <v>232</v>
      </c>
      <c r="L27" s="19">
        <v>0</v>
      </c>
      <c r="M27" s="19">
        <f>-(21)</f>
        <v>-21</v>
      </c>
      <c r="N27" s="31">
        <v>21</v>
      </c>
      <c r="O27" s="19">
        <f>-(17.2)</f>
        <v>-17.2</v>
      </c>
      <c r="P27" s="19">
        <f>-(6.8)</f>
        <v>-6.8</v>
      </c>
      <c r="Q27" s="19">
        <f>-(7.09/5)</f>
        <v>-1.4179999999999999</v>
      </c>
      <c r="R27" s="20">
        <f t="shared" si="0"/>
        <v>206.58199999999999</v>
      </c>
      <c r="S27" s="21">
        <v>232</v>
      </c>
      <c r="T27" s="22">
        <v>0</v>
      </c>
      <c r="U27" s="22">
        <f>-(46.2)</f>
        <v>-46.2</v>
      </c>
      <c r="V27" s="22">
        <v>0</v>
      </c>
      <c r="W27" s="23"/>
      <c r="X27" s="23"/>
      <c r="Y27" s="24">
        <f t="shared" si="2"/>
        <v>185.8</v>
      </c>
    </row>
    <row r="28" spans="2:25" ht="33" customHeight="1" x14ac:dyDescent="0.25">
      <c r="B28" s="13">
        <v>45965</v>
      </c>
      <c r="C28" s="101"/>
      <c r="D28" s="101"/>
      <c r="E28" s="34" t="s">
        <v>26</v>
      </c>
      <c r="F28" s="105"/>
      <c r="G28" s="118"/>
      <c r="H28" s="17" t="s">
        <v>94</v>
      </c>
      <c r="I28" s="18">
        <v>29</v>
      </c>
      <c r="J28" s="19">
        <v>6</v>
      </c>
      <c r="K28" s="19">
        <f t="shared" si="1"/>
        <v>174</v>
      </c>
      <c r="L28" s="19">
        <v>0</v>
      </c>
      <c r="M28" s="19">
        <f>-(21)</f>
        <v>-21</v>
      </c>
      <c r="N28" s="31">
        <v>21</v>
      </c>
      <c r="O28" s="19">
        <f>-(17.2)</f>
        <v>-17.2</v>
      </c>
      <c r="P28" s="19">
        <f>-(6.8)</f>
        <v>-6.8</v>
      </c>
      <c r="Q28" s="19">
        <f>-(7.09/5)</f>
        <v>-1.4179999999999999</v>
      </c>
      <c r="R28" s="20">
        <f t="shared" si="0"/>
        <v>148.58199999999999</v>
      </c>
      <c r="S28" s="35">
        <v>174</v>
      </c>
      <c r="T28" s="36">
        <v>0</v>
      </c>
      <c r="U28" s="22">
        <f>-(46.2)</f>
        <v>-46.2</v>
      </c>
      <c r="V28" s="36">
        <v>0</v>
      </c>
      <c r="W28" s="37"/>
      <c r="X28" s="37"/>
      <c r="Y28" s="24">
        <f t="shared" si="2"/>
        <v>127.8</v>
      </c>
    </row>
    <row r="29" spans="2:25" ht="33" customHeight="1" x14ac:dyDescent="0.25">
      <c r="B29" s="13">
        <v>45966</v>
      </c>
      <c r="C29" s="30" t="s">
        <v>95</v>
      </c>
      <c r="D29" s="38" t="s">
        <v>96</v>
      </c>
      <c r="E29" s="57" t="s">
        <v>26</v>
      </c>
      <c r="F29" s="39">
        <v>45967</v>
      </c>
      <c r="G29" s="40" t="s">
        <v>97</v>
      </c>
      <c r="H29" s="33" t="s">
        <v>93</v>
      </c>
      <c r="I29" s="18">
        <v>29</v>
      </c>
      <c r="J29" s="19">
        <v>1</v>
      </c>
      <c r="K29" s="19">
        <f t="shared" si="1"/>
        <v>29</v>
      </c>
      <c r="L29" s="19">
        <v>11</v>
      </c>
      <c r="M29" s="19">
        <v>-36</v>
      </c>
      <c r="N29" s="19">
        <v>25</v>
      </c>
      <c r="O29" s="19">
        <v>-2</v>
      </c>
      <c r="P29" s="19">
        <v>-1</v>
      </c>
      <c r="Q29" s="19">
        <v>-0.13</v>
      </c>
      <c r="R29" s="20">
        <f t="shared" si="0"/>
        <v>25.87</v>
      </c>
      <c r="S29" s="35">
        <v>29</v>
      </c>
      <c r="T29" s="36">
        <v>11</v>
      </c>
      <c r="U29" s="36">
        <v>0</v>
      </c>
      <c r="V29" s="36">
        <v>0</v>
      </c>
      <c r="W29" s="37"/>
      <c r="X29" s="37"/>
      <c r="Y29" s="24">
        <f t="shared" si="2"/>
        <v>40</v>
      </c>
    </row>
    <row r="30" spans="2:25" ht="33" customHeight="1" x14ac:dyDescent="0.25">
      <c r="B30" s="13">
        <v>45966</v>
      </c>
      <c r="C30" s="100" t="s">
        <v>98</v>
      </c>
      <c r="D30" s="100"/>
      <c r="E30" s="30" t="s">
        <v>26</v>
      </c>
      <c r="F30" s="112">
        <v>45969</v>
      </c>
      <c r="G30" s="116" t="s">
        <v>99</v>
      </c>
      <c r="H30" s="17" t="s">
        <v>69</v>
      </c>
      <c r="I30" s="18">
        <v>29</v>
      </c>
      <c r="J30" s="19">
        <v>6</v>
      </c>
      <c r="K30" s="19">
        <f t="shared" si="1"/>
        <v>174</v>
      </c>
      <c r="L30" s="19"/>
      <c r="M30" s="19">
        <f>-(29)</f>
        <v>-29</v>
      </c>
      <c r="N30" s="19">
        <f>(58/2)</f>
        <v>29</v>
      </c>
      <c r="O30" s="19">
        <v>-9.5</v>
      </c>
      <c r="P30" s="19">
        <v>-4</v>
      </c>
      <c r="Q30" s="19">
        <f>-(1.61/2)</f>
        <v>-0.80500000000000005</v>
      </c>
      <c r="R30" s="20">
        <f t="shared" si="0"/>
        <v>159.69499999999999</v>
      </c>
      <c r="S30" s="35">
        <v>174</v>
      </c>
      <c r="T30" s="36"/>
      <c r="U30" s="36">
        <v>-9</v>
      </c>
      <c r="V30" s="36"/>
      <c r="W30" s="37"/>
      <c r="X30" s="37"/>
      <c r="Y30" s="24">
        <f t="shared" si="2"/>
        <v>165</v>
      </c>
    </row>
    <row r="31" spans="2:25" ht="33" customHeight="1" x14ac:dyDescent="0.25">
      <c r="B31" s="13">
        <v>45966</v>
      </c>
      <c r="C31" s="101"/>
      <c r="D31" s="101"/>
      <c r="E31" s="34" t="s">
        <v>26</v>
      </c>
      <c r="F31" s="105"/>
      <c r="G31" s="118"/>
      <c r="H31" s="17" t="s">
        <v>100</v>
      </c>
      <c r="I31" s="18">
        <v>29</v>
      </c>
      <c r="J31" s="19">
        <v>6</v>
      </c>
      <c r="K31" s="19">
        <f t="shared" si="1"/>
        <v>174</v>
      </c>
      <c r="L31" s="19"/>
      <c r="M31" s="19">
        <f>-(29)</f>
        <v>-29</v>
      </c>
      <c r="N31" s="19">
        <f>(58/2)</f>
        <v>29</v>
      </c>
      <c r="O31" s="19">
        <v>-9.5</v>
      </c>
      <c r="P31" s="19">
        <v>-4</v>
      </c>
      <c r="Q31" s="19">
        <f>-(1.61/2)</f>
        <v>-0.80500000000000005</v>
      </c>
      <c r="R31" s="20">
        <f t="shared" si="0"/>
        <v>159.69499999999999</v>
      </c>
      <c r="S31" s="35">
        <v>174</v>
      </c>
      <c r="T31" s="36"/>
      <c r="U31" s="36">
        <v>-9</v>
      </c>
      <c r="V31" s="36"/>
      <c r="W31" s="37"/>
      <c r="X31" s="37"/>
      <c r="Y31" s="24">
        <f t="shared" si="2"/>
        <v>165</v>
      </c>
    </row>
    <row r="32" spans="2:25" ht="33" customHeight="1" x14ac:dyDescent="0.25">
      <c r="B32" s="13">
        <v>45966</v>
      </c>
      <c r="C32" s="30" t="s">
        <v>101</v>
      </c>
      <c r="D32" s="30"/>
      <c r="E32" s="30" t="s">
        <v>26</v>
      </c>
      <c r="F32" s="39">
        <v>45969</v>
      </c>
      <c r="G32" s="40" t="s">
        <v>102</v>
      </c>
      <c r="H32" s="17" t="s">
        <v>103</v>
      </c>
      <c r="I32" s="18">
        <v>39</v>
      </c>
      <c r="J32" s="19">
        <v>3</v>
      </c>
      <c r="K32" s="19">
        <f t="shared" si="1"/>
        <v>117</v>
      </c>
      <c r="L32" s="19">
        <v>8</v>
      </c>
      <c r="M32" s="19">
        <v>-58</v>
      </c>
      <c r="N32" s="19">
        <v>50</v>
      </c>
      <c r="O32" s="19">
        <v>-7</v>
      </c>
      <c r="P32" s="19">
        <v>-3</v>
      </c>
      <c r="Q32" s="19">
        <v>-0.54</v>
      </c>
      <c r="R32" s="20">
        <f t="shared" si="0"/>
        <v>106.46</v>
      </c>
      <c r="S32" s="35">
        <v>117</v>
      </c>
      <c r="T32" s="36">
        <v>8</v>
      </c>
      <c r="U32" s="36">
        <v>0</v>
      </c>
      <c r="V32" s="36">
        <v>0</v>
      </c>
      <c r="W32" s="37"/>
      <c r="X32" s="37"/>
      <c r="Y32" s="24">
        <f t="shared" si="2"/>
        <v>125</v>
      </c>
    </row>
    <row r="33" spans="2:25" ht="33" customHeight="1" x14ac:dyDescent="0.25">
      <c r="B33" s="13">
        <v>45966</v>
      </c>
      <c r="C33" s="30" t="s">
        <v>104</v>
      </c>
      <c r="D33" s="38" t="s">
        <v>105</v>
      </c>
      <c r="E33" s="57" t="s">
        <v>26</v>
      </c>
      <c r="F33" s="39">
        <v>45968</v>
      </c>
      <c r="G33" s="40" t="s">
        <v>106</v>
      </c>
      <c r="H33" s="17" t="s">
        <v>66</v>
      </c>
      <c r="I33" s="18">
        <v>29</v>
      </c>
      <c r="J33" s="19">
        <v>4</v>
      </c>
      <c r="K33" s="19">
        <f t="shared" si="1"/>
        <v>116</v>
      </c>
      <c r="L33" s="19">
        <v>8</v>
      </c>
      <c r="M33" s="19">
        <v>-58</v>
      </c>
      <c r="N33" s="19">
        <v>50</v>
      </c>
      <c r="O33" s="19">
        <v>-6</v>
      </c>
      <c r="P33" s="19">
        <v>-3</v>
      </c>
      <c r="Q33" s="19">
        <v>-0.54</v>
      </c>
      <c r="R33" s="20">
        <f t="shared" si="0"/>
        <v>106.46</v>
      </c>
      <c r="S33" s="35">
        <v>116</v>
      </c>
      <c r="T33" s="36">
        <v>8</v>
      </c>
      <c r="U33" s="36">
        <v>0</v>
      </c>
      <c r="V33" s="36">
        <v>0</v>
      </c>
      <c r="W33" s="37"/>
      <c r="X33" s="37"/>
      <c r="Y33" s="24">
        <f t="shared" si="2"/>
        <v>124</v>
      </c>
    </row>
    <row r="34" spans="2:25" ht="33" customHeight="1" x14ac:dyDescent="0.25">
      <c r="B34" s="13">
        <v>45966</v>
      </c>
      <c r="C34" s="114" t="s">
        <v>107</v>
      </c>
      <c r="D34" s="119" t="s">
        <v>108</v>
      </c>
      <c r="E34" s="57" t="s">
        <v>26</v>
      </c>
      <c r="F34" s="121">
        <v>45968</v>
      </c>
      <c r="G34" s="117" t="s">
        <v>109</v>
      </c>
      <c r="H34" s="33" t="s">
        <v>93</v>
      </c>
      <c r="I34" s="18">
        <v>29</v>
      </c>
      <c r="J34" s="19">
        <v>10</v>
      </c>
      <c r="K34" s="19">
        <f t="shared" si="1"/>
        <v>290</v>
      </c>
      <c r="L34" s="19">
        <v>0</v>
      </c>
      <c r="M34" s="19">
        <v>-25</v>
      </c>
      <c r="N34" s="19">
        <v>25</v>
      </c>
      <c r="O34" s="19">
        <v>-16</v>
      </c>
      <c r="P34" s="19">
        <v>-6.5</v>
      </c>
      <c r="Q34" s="19">
        <v>-1.34</v>
      </c>
      <c r="R34" s="20">
        <f t="shared" si="0"/>
        <v>266.16000000000003</v>
      </c>
      <c r="S34" s="35">
        <v>290</v>
      </c>
      <c r="T34" s="36">
        <v>0</v>
      </c>
      <c r="U34" s="36">
        <v>-35</v>
      </c>
      <c r="V34" s="36">
        <v>0</v>
      </c>
      <c r="W34" s="37"/>
      <c r="X34" s="37"/>
      <c r="Y34" s="24">
        <f t="shared" si="2"/>
        <v>255</v>
      </c>
    </row>
    <row r="35" spans="2:25" ht="33" customHeight="1" x14ac:dyDescent="0.25">
      <c r="B35" s="13">
        <v>45966</v>
      </c>
      <c r="C35" s="101"/>
      <c r="D35" s="120"/>
      <c r="E35" s="43" t="s">
        <v>26</v>
      </c>
      <c r="F35" s="105"/>
      <c r="G35" s="118"/>
      <c r="H35" s="17" t="s">
        <v>94</v>
      </c>
      <c r="I35" s="18">
        <v>29</v>
      </c>
      <c r="J35" s="19">
        <v>10</v>
      </c>
      <c r="K35" s="19">
        <f t="shared" si="1"/>
        <v>290</v>
      </c>
      <c r="L35" s="19">
        <v>0</v>
      </c>
      <c r="M35" s="19">
        <v>-25</v>
      </c>
      <c r="N35" s="19">
        <v>25</v>
      </c>
      <c r="O35" s="19">
        <v>-16</v>
      </c>
      <c r="P35" s="19">
        <v>-6.5</v>
      </c>
      <c r="Q35" s="19">
        <v>-1.34</v>
      </c>
      <c r="R35" s="20">
        <f t="shared" si="0"/>
        <v>266.16000000000003</v>
      </c>
      <c r="S35" s="35">
        <v>290</v>
      </c>
      <c r="T35" s="36">
        <v>0</v>
      </c>
      <c r="U35" s="36">
        <v>-35</v>
      </c>
      <c r="V35" s="36">
        <v>0</v>
      </c>
      <c r="W35" s="37"/>
      <c r="X35" s="37"/>
      <c r="Y35" s="24">
        <f t="shared" si="2"/>
        <v>255</v>
      </c>
    </row>
    <row r="36" spans="2:25" ht="33" customHeight="1" x14ac:dyDescent="0.25">
      <c r="B36" s="44">
        <v>45966</v>
      </c>
      <c r="C36" s="45" t="s">
        <v>110</v>
      </c>
      <c r="D36" s="46"/>
      <c r="E36" s="46" t="s">
        <v>111</v>
      </c>
      <c r="F36" s="47"/>
      <c r="G36" s="48"/>
      <c r="H36" s="49" t="s">
        <v>51</v>
      </c>
      <c r="I36" s="50">
        <v>39</v>
      </c>
      <c r="J36" s="51">
        <v>10</v>
      </c>
      <c r="K36" s="51">
        <f t="shared" si="1"/>
        <v>390</v>
      </c>
      <c r="L36" s="51">
        <v>-21.45</v>
      </c>
      <c r="M36" s="51">
        <v>-49</v>
      </c>
      <c r="N36" s="51">
        <v>49</v>
      </c>
      <c r="O36" s="51">
        <v>-28.47</v>
      </c>
      <c r="P36" s="51">
        <v>-8.74</v>
      </c>
      <c r="Q36" s="51">
        <v>0</v>
      </c>
      <c r="R36" s="52">
        <f t="shared" si="0"/>
        <v>331.34000000000003</v>
      </c>
      <c r="S36" s="53"/>
      <c r="T36" s="54"/>
      <c r="U36" s="54"/>
      <c r="V36" s="54"/>
      <c r="W36" s="55"/>
      <c r="X36" s="55"/>
      <c r="Y36" s="56"/>
    </row>
    <row r="37" spans="2:25" ht="33" customHeight="1" x14ac:dyDescent="0.25">
      <c r="B37" s="13">
        <v>45966</v>
      </c>
      <c r="C37" s="30" t="s">
        <v>112</v>
      </c>
      <c r="D37" s="38" t="s">
        <v>113</v>
      </c>
      <c r="E37" s="57" t="s">
        <v>26</v>
      </c>
      <c r="F37" s="39">
        <v>45968</v>
      </c>
      <c r="G37" s="40" t="s">
        <v>114</v>
      </c>
      <c r="H37" s="33" t="s">
        <v>93</v>
      </c>
      <c r="I37" s="18">
        <v>29</v>
      </c>
      <c r="J37" s="19">
        <v>2</v>
      </c>
      <c r="K37" s="19">
        <f t="shared" si="1"/>
        <v>58</v>
      </c>
      <c r="L37" s="19">
        <v>0</v>
      </c>
      <c r="M37" s="19">
        <v>-36</v>
      </c>
      <c r="N37" s="19">
        <v>36</v>
      </c>
      <c r="O37" s="19">
        <v>-3</v>
      </c>
      <c r="P37" s="19">
        <v>-1</v>
      </c>
      <c r="Q37" s="19">
        <v>-0.27</v>
      </c>
      <c r="R37" s="20">
        <f t="shared" si="0"/>
        <v>53.73</v>
      </c>
      <c r="S37" s="35">
        <v>58</v>
      </c>
      <c r="T37" s="36">
        <v>0</v>
      </c>
      <c r="U37" s="36">
        <v>0</v>
      </c>
      <c r="V37" s="36">
        <v>0</v>
      </c>
      <c r="W37" s="37"/>
      <c r="X37" s="37"/>
      <c r="Y37" s="24">
        <f t="shared" si="2"/>
        <v>58</v>
      </c>
    </row>
    <row r="38" spans="2:25" ht="33" customHeight="1" x14ac:dyDescent="0.25">
      <c r="B38" s="13">
        <v>45967</v>
      </c>
      <c r="C38" s="30" t="s">
        <v>115</v>
      </c>
      <c r="D38" s="38" t="s">
        <v>116</v>
      </c>
      <c r="E38" s="57" t="s">
        <v>26</v>
      </c>
      <c r="F38" s="39">
        <v>45968</v>
      </c>
      <c r="G38" s="40" t="s">
        <v>117</v>
      </c>
      <c r="H38" s="17" t="s">
        <v>118</v>
      </c>
      <c r="I38" s="18">
        <v>29</v>
      </c>
      <c r="J38" s="19">
        <v>6</v>
      </c>
      <c r="K38" s="19">
        <f t="shared" si="1"/>
        <v>174</v>
      </c>
      <c r="L38" s="19">
        <v>0</v>
      </c>
      <c r="M38" s="19">
        <v>-36</v>
      </c>
      <c r="N38" s="19">
        <v>36</v>
      </c>
      <c r="O38" s="19">
        <v>-10</v>
      </c>
      <c r="P38" s="19">
        <v>-4</v>
      </c>
      <c r="Q38" s="19">
        <v>-0.8</v>
      </c>
      <c r="R38" s="20">
        <f t="shared" si="0"/>
        <v>159.19999999999999</v>
      </c>
      <c r="S38" s="35">
        <f t="shared" ref="S38:S101" si="3">K38</f>
        <v>174</v>
      </c>
      <c r="T38" s="36">
        <v>0</v>
      </c>
      <c r="U38" s="36">
        <v>0</v>
      </c>
      <c r="V38" s="36">
        <v>0</v>
      </c>
      <c r="W38" s="37"/>
      <c r="X38" s="37"/>
      <c r="Y38" s="24">
        <f t="shared" si="2"/>
        <v>174</v>
      </c>
    </row>
    <row r="39" spans="2:25" ht="33" customHeight="1" x14ac:dyDescent="0.25">
      <c r="B39" s="13">
        <v>45967</v>
      </c>
      <c r="C39" s="30" t="s">
        <v>119</v>
      </c>
      <c r="D39" s="38" t="s">
        <v>120</v>
      </c>
      <c r="E39" s="57" t="s">
        <v>26</v>
      </c>
      <c r="F39" s="39">
        <v>45968</v>
      </c>
      <c r="G39" s="40" t="s">
        <v>121</v>
      </c>
      <c r="H39" s="17" t="s">
        <v>51</v>
      </c>
      <c r="I39" s="18">
        <v>39</v>
      </c>
      <c r="J39" s="19">
        <v>11</v>
      </c>
      <c r="K39" s="19">
        <f t="shared" si="1"/>
        <v>429</v>
      </c>
      <c r="L39" s="19">
        <v>0</v>
      </c>
      <c r="M39" s="19">
        <v>-58</v>
      </c>
      <c r="N39" s="19">
        <v>58</v>
      </c>
      <c r="O39" s="19">
        <v>-24</v>
      </c>
      <c r="P39" s="19">
        <v>-10</v>
      </c>
      <c r="Q39" s="19">
        <v>-1.98</v>
      </c>
      <c r="R39" s="20">
        <f t="shared" si="0"/>
        <v>393.02</v>
      </c>
      <c r="S39" s="35">
        <f t="shared" si="3"/>
        <v>429</v>
      </c>
      <c r="T39" s="36">
        <v>0</v>
      </c>
      <c r="U39" s="36">
        <v>-52</v>
      </c>
      <c r="V39" s="36">
        <v>0</v>
      </c>
      <c r="W39" s="37"/>
      <c r="X39" s="37"/>
      <c r="Y39" s="24">
        <f t="shared" si="2"/>
        <v>377</v>
      </c>
    </row>
    <row r="40" spans="2:25" ht="33" customHeight="1" x14ac:dyDescent="0.25">
      <c r="B40" s="13">
        <v>45967</v>
      </c>
      <c r="C40" s="100" t="s">
        <v>122</v>
      </c>
      <c r="D40" s="122" t="s">
        <v>123</v>
      </c>
      <c r="E40" s="57" t="s">
        <v>26</v>
      </c>
      <c r="F40" s="112">
        <v>45968</v>
      </c>
      <c r="G40" s="116" t="s">
        <v>124</v>
      </c>
      <c r="H40" s="17" t="s">
        <v>73</v>
      </c>
      <c r="I40" s="18">
        <v>29</v>
      </c>
      <c r="J40" s="19">
        <v>3</v>
      </c>
      <c r="K40" s="19">
        <f t="shared" si="1"/>
        <v>87</v>
      </c>
      <c r="L40" s="19">
        <v>0</v>
      </c>
      <c r="M40" s="19">
        <v>-18</v>
      </c>
      <c r="N40" s="19">
        <v>18</v>
      </c>
      <c r="O40" s="19">
        <v>-5</v>
      </c>
      <c r="P40" s="19">
        <v>-2</v>
      </c>
      <c r="Q40" s="19">
        <v>-0.4</v>
      </c>
      <c r="R40" s="20">
        <f t="shared" si="0"/>
        <v>79.599999999999994</v>
      </c>
      <c r="S40" s="35">
        <f t="shared" si="3"/>
        <v>87</v>
      </c>
      <c r="T40" s="36">
        <v>0</v>
      </c>
      <c r="U40" s="36">
        <v>-4.5</v>
      </c>
      <c r="V40" s="36">
        <v>0</v>
      </c>
      <c r="W40" s="37">
        <v>-1</v>
      </c>
      <c r="X40" s="37"/>
      <c r="Y40" s="24">
        <f t="shared" si="2"/>
        <v>81.5</v>
      </c>
    </row>
    <row r="41" spans="2:25" ht="33" customHeight="1" x14ac:dyDescent="0.25">
      <c r="B41" s="13">
        <v>45967</v>
      </c>
      <c r="C41" s="101"/>
      <c r="D41" s="120"/>
      <c r="E41" s="57" t="s">
        <v>26</v>
      </c>
      <c r="F41" s="105"/>
      <c r="G41" s="118"/>
      <c r="H41" s="33" t="s">
        <v>93</v>
      </c>
      <c r="I41" s="18">
        <v>29</v>
      </c>
      <c r="J41" s="19">
        <v>3</v>
      </c>
      <c r="K41" s="19">
        <f t="shared" si="1"/>
        <v>87</v>
      </c>
      <c r="L41" s="19">
        <v>0</v>
      </c>
      <c r="M41" s="19">
        <v>-18</v>
      </c>
      <c r="N41" s="19">
        <v>18</v>
      </c>
      <c r="O41" s="19">
        <v>-5</v>
      </c>
      <c r="P41" s="19">
        <v>-2</v>
      </c>
      <c r="Q41" s="19">
        <v>-0.4</v>
      </c>
      <c r="R41" s="20">
        <f t="shared" si="0"/>
        <v>79.599999999999994</v>
      </c>
      <c r="S41" s="35">
        <f t="shared" si="3"/>
        <v>87</v>
      </c>
      <c r="T41" s="36">
        <v>0</v>
      </c>
      <c r="U41" s="36">
        <v>-4.5</v>
      </c>
      <c r="V41" s="36">
        <v>0</v>
      </c>
      <c r="W41" s="37">
        <v>-1</v>
      </c>
      <c r="X41" s="37"/>
      <c r="Y41" s="24">
        <f t="shared" si="2"/>
        <v>81.5</v>
      </c>
    </row>
    <row r="42" spans="2:25" ht="33" customHeight="1" x14ac:dyDescent="0.25">
      <c r="B42" s="13">
        <v>45967</v>
      </c>
      <c r="C42" s="30" t="s">
        <v>125</v>
      </c>
      <c r="D42" s="30"/>
      <c r="E42" s="30" t="s">
        <v>61</v>
      </c>
      <c r="F42" s="39">
        <v>45977</v>
      </c>
      <c r="G42" s="40" t="s">
        <v>126</v>
      </c>
      <c r="H42" s="17" t="s">
        <v>103</v>
      </c>
      <c r="I42" s="18">
        <v>39</v>
      </c>
      <c r="J42" s="19">
        <v>3</v>
      </c>
      <c r="K42" s="19">
        <f t="shared" si="1"/>
        <v>117</v>
      </c>
      <c r="L42" s="19">
        <v>0</v>
      </c>
      <c r="M42" s="19">
        <v>-120</v>
      </c>
      <c r="N42" s="19">
        <v>120</v>
      </c>
      <c r="O42" s="19">
        <v>-7</v>
      </c>
      <c r="P42" s="19">
        <v>-3</v>
      </c>
      <c r="Q42" s="19">
        <v>-0.54</v>
      </c>
      <c r="R42" s="20">
        <f t="shared" si="0"/>
        <v>106.46</v>
      </c>
      <c r="S42" s="35">
        <f t="shared" si="3"/>
        <v>117</v>
      </c>
      <c r="T42" s="36">
        <v>0</v>
      </c>
      <c r="U42" s="36">
        <v>0</v>
      </c>
      <c r="V42" s="36">
        <v>0</v>
      </c>
      <c r="W42" s="37">
        <v>0</v>
      </c>
      <c r="X42" s="37"/>
      <c r="Y42" s="24">
        <f t="shared" si="2"/>
        <v>117</v>
      </c>
    </row>
    <row r="43" spans="2:25" ht="33" customHeight="1" x14ac:dyDescent="0.25">
      <c r="B43" s="13">
        <v>45967</v>
      </c>
      <c r="C43" s="30" t="s">
        <v>127</v>
      </c>
      <c r="D43" s="30"/>
      <c r="E43" s="30" t="s">
        <v>26</v>
      </c>
      <c r="F43" s="39">
        <v>45969</v>
      </c>
      <c r="G43" s="40" t="s">
        <v>128</v>
      </c>
      <c r="H43" s="17" t="s">
        <v>103</v>
      </c>
      <c r="I43" s="18">
        <v>39</v>
      </c>
      <c r="J43" s="19">
        <v>4</v>
      </c>
      <c r="K43" s="19">
        <f t="shared" si="1"/>
        <v>156</v>
      </c>
      <c r="L43" s="19">
        <v>0</v>
      </c>
      <c r="M43" s="19">
        <v>-58</v>
      </c>
      <c r="N43" s="19">
        <v>58</v>
      </c>
      <c r="O43" s="19">
        <v>-9</v>
      </c>
      <c r="P43" s="19">
        <v>-3</v>
      </c>
      <c r="Q43" s="19">
        <v>-0.72</v>
      </c>
      <c r="R43" s="20">
        <f t="shared" si="0"/>
        <v>143.28</v>
      </c>
      <c r="S43" s="35">
        <f t="shared" si="3"/>
        <v>156</v>
      </c>
      <c r="T43" s="36">
        <v>0</v>
      </c>
      <c r="U43" s="36">
        <v>-8</v>
      </c>
      <c r="V43" s="36">
        <v>0</v>
      </c>
      <c r="W43" s="37">
        <v>0</v>
      </c>
      <c r="X43" s="37"/>
      <c r="Y43" s="58">
        <f t="shared" si="2"/>
        <v>148</v>
      </c>
    </row>
    <row r="44" spans="2:25" ht="33" customHeight="1" x14ac:dyDescent="0.25">
      <c r="B44" s="13">
        <v>45968</v>
      </c>
      <c r="C44" s="30" t="s">
        <v>129</v>
      </c>
      <c r="D44" s="30"/>
      <c r="E44" s="30" t="s">
        <v>26</v>
      </c>
      <c r="F44" s="39">
        <v>45969</v>
      </c>
      <c r="G44" s="40" t="s">
        <v>130</v>
      </c>
      <c r="H44" s="17" t="s">
        <v>39</v>
      </c>
      <c r="I44" s="18">
        <v>39</v>
      </c>
      <c r="J44" s="19">
        <v>10</v>
      </c>
      <c r="K44" s="19">
        <f t="shared" si="1"/>
        <v>390</v>
      </c>
      <c r="L44" s="19">
        <v>0</v>
      </c>
      <c r="M44" s="19">
        <v>-36</v>
      </c>
      <c r="N44" s="19">
        <v>36</v>
      </c>
      <c r="O44" s="19">
        <v>-22</v>
      </c>
      <c r="P44" s="19">
        <v>-9</v>
      </c>
      <c r="Q44" s="19">
        <v>-1.8</v>
      </c>
      <c r="R44" s="20">
        <f t="shared" si="0"/>
        <v>357.2</v>
      </c>
      <c r="S44" s="35">
        <f t="shared" si="3"/>
        <v>390</v>
      </c>
      <c r="T44" s="36">
        <v>0</v>
      </c>
      <c r="U44" s="36">
        <v>0</v>
      </c>
      <c r="V44" s="36">
        <v>0</v>
      </c>
      <c r="W44" s="37">
        <v>0</v>
      </c>
      <c r="X44" s="37"/>
      <c r="Y44" s="58">
        <f t="shared" si="2"/>
        <v>390</v>
      </c>
    </row>
    <row r="45" spans="2:25" ht="33" customHeight="1" x14ac:dyDescent="0.25">
      <c r="B45" s="13">
        <v>45968</v>
      </c>
      <c r="C45" s="100" t="s">
        <v>131</v>
      </c>
      <c r="D45" s="100"/>
      <c r="E45" s="30" t="s">
        <v>26</v>
      </c>
      <c r="F45" s="112">
        <v>45969</v>
      </c>
      <c r="G45" s="116" t="s">
        <v>132</v>
      </c>
      <c r="H45" s="17" t="s">
        <v>89</v>
      </c>
      <c r="I45" s="18">
        <v>29</v>
      </c>
      <c r="J45" s="19">
        <v>3</v>
      </c>
      <c r="K45" s="19">
        <f t="shared" si="1"/>
        <v>87</v>
      </c>
      <c r="L45" s="19">
        <v>0</v>
      </c>
      <c r="M45" s="19">
        <f>-(36/5)*3</f>
        <v>-21.6</v>
      </c>
      <c r="N45" s="19">
        <f>(36/5)*3</f>
        <v>21.6</v>
      </c>
      <c r="O45" s="19">
        <f>-(8/5)*3</f>
        <v>-4.8000000000000007</v>
      </c>
      <c r="P45" s="19">
        <f>-(3/5)*3</f>
        <v>-1.7999999999999998</v>
      </c>
      <c r="Q45" s="19">
        <f>-(0.67/5)*3</f>
        <v>-0.40200000000000002</v>
      </c>
      <c r="R45" s="20">
        <f t="shared" si="0"/>
        <v>79.998000000000005</v>
      </c>
      <c r="S45" s="35">
        <f t="shared" si="3"/>
        <v>87</v>
      </c>
      <c r="T45" s="36">
        <v>0</v>
      </c>
      <c r="U45" s="36">
        <v>0</v>
      </c>
      <c r="V45" s="36">
        <v>0</v>
      </c>
      <c r="W45" s="37">
        <v>0</v>
      </c>
      <c r="X45" s="37"/>
      <c r="Y45" s="58">
        <f t="shared" si="2"/>
        <v>87</v>
      </c>
    </row>
    <row r="46" spans="2:25" ht="33" customHeight="1" x14ac:dyDescent="0.25">
      <c r="B46" s="13">
        <v>45968</v>
      </c>
      <c r="C46" s="114"/>
      <c r="D46" s="114"/>
      <c r="E46" s="41" t="s">
        <v>26</v>
      </c>
      <c r="F46" s="115"/>
      <c r="G46" s="117"/>
      <c r="H46" s="17" t="s">
        <v>94</v>
      </c>
      <c r="I46" s="18">
        <v>29</v>
      </c>
      <c r="J46" s="19">
        <v>2</v>
      </c>
      <c r="K46" s="19">
        <f t="shared" si="1"/>
        <v>58</v>
      </c>
      <c r="L46" s="19">
        <v>0</v>
      </c>
      <c r="M46" s="19">
        <f>-(36/5)*2</f>
        <v>-14.4</v>
      </c>
      <c r="N46" s="19">
        <f>(36/5)*2</f>
        <v>14.4</v>
      </c>
      <c r="O46" s="19">
        <f>-(8/5)*2</f>
        <v>-3.2</v>
      </c>
      <c r="P46" s="19">
        <f>-(3/5)*2</f>
        <v>-1.2</v>
      </c>
      <c r="Q46" s="19">
        <f>-(0.67/5)*2</f>
        <v>-0.26800000000000002</v>
      </c>
      <c r="R46" s="20">
        <f t="shared" si="0"/>
        <v>53.331999999999994</v>
      </c>
      <c r="S46" s="35">
        <f t="shared" si="3"/>
        <v>58</v>
      </c>
      <c r="T46" s="36">
        <v>0</v>
      </c>
      <c r="U46" s="36">
        <v>0</v>
      </c>
      <c r="V46" s="36">
        <v>0</v>
      </c>
      <c r="W46" s="37">
        <v>0</v>
      </c>
      <c r="X46" s="37"/>
      <c r="Y46" s="58">
        <f t="shared" si="2"/>
        <v>58</v>
      </c>
    </row>
    <row r="47" spans="2:25" ht="33" customHeight="1" x14ac:dyDescent="0.25">
      <c r="B47" s="13">
        <v>45968</v>
      </c>
      <c r="C47" s="32" t="s">
        <v>133</v>
      </c>
      <c r="D47" s="32"/>
      <c r="E47" s="32" t="s">
        <v>26</v>
      </c>
      <c r="F47" s="59">
        <v>45969</v>
      </c>
      <c r="G47" s="60" t="s">
        <v>134</v>
      </c>
      <c r="H47" s="17" t="s">
        <v>36</v>
      </c>
      <c r="I47" s="18">
        <v>39</v>
      </c>
      <c r="J47" s="19">
        <v>5</v>
      </c>
      <c r="K47" s="19">
        <f t="shared" si="1"/>
        <v>195</v>
      </c>
      <c r="L47" s="19">
        <v>0</v>
      </c>
      <c r="M47" s="19">
        <v>-58</v>
      </c>
      <c r="N47" s="19">
        <v>58</v>
      </c>
      <c r="O47" s="19">
        <v>-11</v>
      </c>
      <c r="P47" s="19">
        <v>-4</v>
      </c>
      <c r="Q47" s="19">
        <v>-0.9</v>
      </c>
      <c r="R47" s="20">
        <f t="shared" si="0"/>
        <v>179.1</v>
      </c>
      <c r="S47" s="35">
        <f t="shared" si="3"/>
        <v>195</v>
      </c>
      <c r="T47" s="36">
        <v>0</v>
      </c>
      <c r="U47" s="36">
        <v>0</v>
      </c>
      <c r="V47" s="36">
        <v>0</v>
      </c>
      <c r="W47" s="37">
        <v>0</v>
      </c>
      <c r="X47" s="37"/>
      <c r="Y47" s="58">
        <f t="shared" si="2"/>
        <v>195</v>
      </c>
    </row>
    <row r="48" spans="2:25" ht="33" customHeight="1" x14ac:dyDescent="0.25">
      <c r="B48" s="13">
        <v>45968</v>
      </c>
      <c r="C48" s="30" t="s">
        <v>135</v>
      </c>
      <c r="D48" s="30"/>
      <c r="E48" s="30" t="s">
        <v>61</v>
      </c>
      <c r="F48" s="39">
        <v>45970</v>
      </c>
      <c r="G48" s="40" t="s">
        <v>136</v>
      </c>
      <c r="H48" s="17" t="s">
        <v>66</v>
      </c>
      <c r="I48" s="18">
        <v>29</v>
      </c>
      <c r="J48" s="19">
        <v>10</v>
      </c>
      <c r="K48" s="19">
        <f t="shared" si="1"/>
        <v>290</v>
      </c>
      <c r="L48" s="19">
        <v>0</v>
      </c>
      <c r="M48" s="19">
        <v>-58</v>
      </c>
      <c r="N48" s="19">
        <v>58</v>
      </c>
      <c r="O48" s="19">
        <v>-16</v>
      </c>
      <c r="P48" s="19">
        <v>-6</v>
      </c>
      <c r="Q48" s="19">
        <v>-1.34</v>
      </c>
      <c r="R48" s="20">
        <f t="shared" si="0"/>
        <v>266.66000000000003</v>
      </c>
      <c r="S48" s="35">
        <f t="shared" si="3"/>
        <v>290</v>
      </c>
      <c r="T48" s="36">
        <v>0</v>
      </c>
      <c r="U48" s="36">
        <v>0</v>
      </c>
      <c r="V48" s="36">
        <v>0</v>
      </c>
      <c r="W48" s="37">
        <v>0</v>
      </c>
      <c r="X48" s="37"/>
      <c r="Y48" s="58">
        <f t="shared" si="2"/>
        <v>290</v>
      </c>
    </row>
    <row r="49" spans="2:25" ht="33" customHeight="1" x14ac:dyDescent="0.25">
      <c r="B49" s="13">
        <v>45968</v>
      </c>
      <c r="C49" s="30" t="s">
        <v>137</v>
      </c>
      <c r="D49" s="30"/>
      <c r="E49" s="30" t="s">
        <v>61</v>
      </c>
      <c r="F49" s="39">
        <v>45970</v>
      </c>
      <c r="G49" s="40" t="s">
        <v>138</v>
      </c>
      <c r="H49" s="17" t="s">
        <v>89</v>
      </c>
      <c r="I49" s="18">
        <v>29</v>
      </c>
      <c r="J49" s="19">
        <v>2</v>
      </c>
      <c r="K49" s="19">
        <f t="shared" si="1"/>
        <v>58</v>
      </c>
      <c r="L49" s="19">
        <v>11</v>
      </c>
      <c r="M49" s="19">
        <v>-36</v>
      </c>
      <c r="N49" s="19">
        <v>25</v>
      </c>
      <c r="O49" s="19">
        <v>-3</v>
      </c>
      <c r="P49" s="19">
        <v>-2</v>
      </c>
      <c r="Q49" s="19">
        <v>-0.27</v>
      </c>
      <c r="R49" s="20">
        <f t="shared" si="0"/>
        <v>52.73</v>
      </c>
      <c r="S49" s="35">
        <f t="shared" si="3"/>
        <v>58</v>
      </c>
      <c r="T49" s="36">
        <v>-11</v>
      </c>
      <c r="U49" s="36">
        <v>0</v>
      </c>
      <c r="V49" s="36">
        <v>0</v>
      </c>
      <c r="W49" s="37">
        <v>0</v>
      </c>
      <c r="X49" s="37"/>
      <c r="Y49" s="58">
        <f t="shared" si="2"/>
        <v>47</v>
      </c>
    </row>
    <row r="50" spans="2:25" ht="33" customHeight="1" x14ac:dyDescent="0.25">
      <c r="B50" s="13">
        <v>45968</v>
      </c>
      <c r="C50" s="30" t="s">
        <v>139</v>
      </c>
      <c r="D50" s="30"/>
      <c r="E50" s="30" t="s">
        <v>61</v>
      </c>
      <c r="F50" s="39">
        <v>45970</v>
      </c>
      <c r="G50" s="40" t="s">
        <v>140</v>
      </c>
      <c r="H50" s="17" t="s">
        <v>141</v>
      </c>
      <c r="I50" s="18">
        <v>39</v>
      </c>
      <c r="J50" s="19">
        <v>1</v>
      </c>
      <c r="K50" s="19">
        <f t="shared" si="1"/>
        <v>39</v>
      </c>
      <c r="L50" s="19">
        <v>0</v>
      </c>
      <c r="M50" s="19">
        <v>-36</v>
      </c>
      <c r="N50" s="19">
        <v>36</v>
      </c>
      <c r="O50" s="19">
        <v>-2</v>
      </c>
      <c r="P50" s="19">
        <v>-1</v>
      </c>
      <c r="Q50" s="19">
        <v>-0.18</v>
      </c>
      <c r="R50" s="20">
        <f t="shared" si="0"/>
        <v>35.82</v>
      </c>
      <c r="S50" s="35">
        <f t="shared" si="3"/>
        <v>39</v>
      </c>
      <c r="T50" s="36">
        <v>0</v>
      </c>
      <c r="U50" s="36">
        <v>0</v>
      </c>
      <c r="V50" s="36">
        <v>0</v>
      </c>
      <c r="W50" s="37">
        <v>0</v>
      </c>
      <c r="X50" s="37"/>
      <c r="Y50" s="58">
        <f t="shared" si="2"/>
        <v>39</v>
      </c>
    </row>
    <row r="51" spans="2:25" ht="33" customHeight="1" x14ac:dyDescent="0.25">
      <c r="B51" s="13">
        <v>45969</v>
      </c>
      <c r="C51" s="30" t="s">
        <v>142</v>
      </c>
      <c r="D51" s="30"/>
      <c r="E51" s="30" t="s">
        <v>61</v>
      </c>
      <c r="F51" s="39">
        <v>45972</v>
      </c>
      <c r="G51" s="40" t="s">
        <v>143</v>
      </c>
      <c r="H51" s="17" t="s">
        <v>39</v>
      </c>
      <c r="I51" s="18">
        <v>39</v>
      </c>
      <c r="J51" s="19">
        <v>19</v>
      </c>
      <c r="K51" s="19">
        <f t="shared" si="1"/>
        <v>741</v>
      </c>
      <c r="L51" s="19">
        <v>0</v>
      </c>
      <c r="M51" s="19">
        <v>-58</v>
      </c>
      <c r="N51" s="19">
        <v>58</v>
      </c>
      <c r="O51" s="19">
        <v>-41</v>
      </c>
      <c r="P51" s="19">
        <v>-17</v>
      </c>
      <c r="Q51" s="19">
        <v>-3.42</v>
      </c>
      <c r="R51" s="20">
        <f t="shared" si="0"/>
        <v>679.58</v>
      </c>
      <c r="S51" s="35">
        <f t="shared" si="3"/>
        <v>741</v>
      </c>
      <c r="T51" s="36">
        <v>0</v>
      </c>
      <c r="U51" s="36">
        <v>-70</v>
      </c>
      <c r="V51" s="36">
        <v>0</v>
      </c>
      <c r="W51" s="37">
        <v>0</v>
      </c>
      <c r="X51" s="37"/>
      <c r="Y51" s="58">
        <f t="shared" si="2"/>
        <v>671</v>
      </c>
    </row>
    <row r="52" spans="2:25" ht="33" customHeight="1" x14ac:dyDescent="0.25">
      <c r="B52" s="13">
        <v>45969</v>
      </c>
      <c r="C52" s="30" t="s">
        <v>144</v>
      </c>
      <c r="D52" s="30"/>
      <c r="E52" s="30" t="s">
        <v>26</v>
      </c>
      <c r="F52" s="39">
        <v>45976</v>
      </c>
      <c r="G52" s="40" t="s">
        <v>145</v>
      </c>
      <c r="H52" s="17" t="s">
        <v>36</v>
      </c>
      <c r="I52" s="18">
        <v>39</v>
      </c>
      <c r="J52" s="19">
        <v>10</v>
      </c>
      <c r="K52" s="19">
        <f t="shared" si="1"/>
        <v>390</v>
      </c>
      <c r="L52" s="19">
        <v>0</v>
      </c>
      <c r="M52" s="19">
        <v>-58</v>
      </c>
      <c r="N52" s="19">
        <v>58</v>
      </c>
      <c r="O52" s="19">
        <v>-22</v>
      </c>
      <c r="P52" s="19">
        <v>-9</v>
      </c>
      <c r="Q52" s="19">
        <v>-1.8</v>
      </c>
      <c r="R52" s="20">
        <f t="shared" si="0"/>
        <v>357.2</v>
      </c>
      <c r="S52" s="35">
        <f t="shared" si="3"/>
        <v>390</v>
      </c>
      <c r="T52" s="36">
        <v>0</v>
      </c>
      <c r="U52" s="36">
        <v>0</v>
      </c>
      <c r="V52" s="36">
        <v>0</v>
      </c>
      <c r="W52" s="37">
        <v>0</v>
      </c>
      <c r="X52" s="37"/>
      <c r="Y52" s="58">
        <f t="shared" si="2"/>
        <v>390</v>
      </c>
    </row>
    <row r="53" spans="2:25" ht="33" customHeight="1" x14ac:dyDescent="0.25">
      <c r="B53" s="13">
        <v>45969</v>
      </c>
      <c r="C53" s="100" t="s">
        <v>146</v>
      </c>
      <c r="D53" s="100"/>
      <c r="E53" s="30" t="s">
        <v>26</v>
      </c>
      <c r="F53" s="61">
        <v>45976</v>
      </c>
      <c r="G53" s="116" t="s">
        <v>147</v>
      </c>
      <c r="H53" s="17" t="s">
        <v>36</v>
      </c>
      <c r="I53" s="18">
        <v>39</v>
      </c>
      <c r="J53" s="19">
        <v>1</v>
      </c>
      <c r="K53" s="19">
        <f t="shared" si="1"/>
        <v>39</v>
      </c>
      <c r="L53" s="19">
        <v>0</v>
      </c>
      <c r="M53" s="19">
        <v>-29</v>
      </c>
      <c r="N53" s="19">
        <v>29</v>
      </c>
      <c r="O53" s="19">
        <v>-2</v>
      </c>
      <c r="P53" s="19">
        <v>-1</v>
      </c>
      <c r="Q53" s="19">
        <f>-(0.31/2)</f>
        <v>-0.155</v>
      </c>
      <c r="R53" s="20">
        <f t="shared" si="0"/>
        <v>35.844999999999999</v>
      </c>
      <c r="S53" s="35">
        <f t="shared" si="3"/>
        <v>39</v>
      </c>
      <c r="T53" s="36">
        <v>0</v>
      </c>
      <c r="U53" s="36">
        <v>0</v>
      </c>
      <c r="V53" s="36">
        <v>0</v>
      </c>
      <c r="W53" s="37">
        <v>0</v>
      </c>
      <c r="X53" s="37"/>
      <c r="Y53" s="58">
        <f t="shared" si="2"/>
        <v>39</v>
      </c>
    </row>
    <row r="54" spans="2:25" ht="33" customHeight="1" x14ac:dyDescent="0.25">
      <c r="B54" s="13">
        <v>45969</v>
      </c>
      <c r="C54" s="101"/>
      <c r="D54" s="101"/>
      <c r="E54" s="30" t="s">
        <v>26</v>
      </c>
      <c r="F54" s="61">
        <v>45976</v>
      </c>
      <c r="G54" s="118"/>
      <c r="H54" s="17" t="s">
        <v>148</v>
      </c>
      <c r="I54" s="18">
        <v>29</v>
      </c>
      <c r="J54" s="19">
        <v>1</v>
      </c>
      <c r="K54" s="19">
        <f t="shared" si="1"/>
        <v>29</v>
      </c>
      <c r="L54" s="19">
        <v>0</v>
      </c>
      <c r="M54" s="19">
        <v>-29</v>
      </c>
      <c r="N54" s="19">
        <v>29</v>
      </c>
      <c r="O54" s="19">
        <v>-2</v>
      </c>
      <c r="P54" s="19">
        <v>-1</v>
      </c>
      <c r="Q54" s="19">
        <f>-(0.31/2)</f>
        <v>-0.155</v>
      </c>
      <c r="R54" s="20">
        <f t="shared" si="0"/>
        <v>25.844999999999999</v>
      </c>
      <c r="S54" s="35">
        <f t="shared" si="3"/>
        <v>29</v>
      </c>
      <c r="T54" s="36">
        <v>0</v>
      </c>
      <c r="U54" s="36">
        <v>0</v>
      </c>
      <c r="V54" s="36">
        <v>0</v>
      </c>
      <c r="W54" s="37">
        <v>0</v>
      </c>
      <c r="X54" s="37"/>
      <c r="Y54" s="58">
        <f t="shared" si="2"/>
        <v>29</v>
      </c>
    </row>
    <row r="55" spans="2:25" ht="33" customHeight="1" x14ac:dyDescent="0.25">
      <c r="B55" s="13">
        <v>45969</v>
      </c>
      <c r="C55" s="30" t="s">
        <v>149</v>
      </c>
      <c r="D55" s="30"/>
      <c r="E55" s="30" t="s">
        <v>61</v>
      </c>
      <c r="F55" s="62"/>
      <c r="G55" s="40" t="s">
        <v>150</v>
      </c>
      <c r="H55" s="17" t="s">
        <v>151</v>
      </c>
      <c r="I55" s="18">
        <v>29</v>
      </c>
      <c r="J55" s="19">
        <v>2</v>
      </c>
      <c r="K55" s="19">
        <f t="shared" si="1"/>
        <v>58</v>
      </c>
      <c r="L55" s="19">
        <v>0</v>
      </c>
      <c r="M55" s="19">
        <v>0</v>
      </c>
      <c r="N55" s="19">
        <v>0</v>
      </c>
      <c r="O55" s="19">
        <v>-3</v>
      </c>
      <c r="P55" s="19">
        <v>-1</v>
      </c>
      <c r="Q55" s="19">
        <v>-0.27</v>
      </c>
      <c r="R55" s="20">
        <f t="shared" si="0"/>
        <v>53.73</v>
      </c>
      <c r="S55" s="35">
        <f t="shared" si="3"/>
        <v>58</v>
      </c>
      <c r="T55" s="36">
        <v>0</v>
      </c>
      <c r="U55" s="36">
        <v>-3</v>
      </c>
      <c r="V55" s="36">
        <v>0</v>
      </c>
      <c r="W55" s="37">
        <v>0</v>
      </c>
      <c r="X55" s="37"/>
      <c r="Y55" s="58">
        <f t="shared" ref="Y55:Y86" si="4">SUM(S55:W55)</f>
        <v>55</v>
      </c>
    </row>
    <row r="56" spans="2:25" ht="33" customHeight="1" x14ac:dyDescent="0.25">
      <c r="B56" s="13">
        <v>45969</v>
      </c>
      <c r="C56" s="30" t="s">
        <v>152</v>
      </c>
      <c r="D56" s="30"/>
      <c r="E56" s="30" t="s">
        <v>26</v>
      </c>
      <c r="F56" s="62" t="s">
        <v>153</v>
      </c>
      <c r="G56" s="40" t="s">
        <v>154</v>
      </c>
      <c r="H56" s="17" t="s">
        <v>66</v>
      </c>
      <c r="I56" s="18">
        <v>29</v>
      </c>
      <c r="J56" s="19">
        <v>1</v>
      </c>
      <c r="K56" s="19">
        <f t="shared" si="1"/>
        <v>29</v>
      </c>
      <c r="L56" s="19">
        <v>0</v>
      </c>
      <c r="M56" s="19">
        <v>0</v>
      </c>
      <c r="N56" s="19">
        <v>0</v>
      </c>
      <c r="O56" s="19">
        <v>-2</v>
      </c>
      <c r="P56" s="19">
        <v>-1</v>
      </c>
      <c r="Q56" s="19">
        <v>-0.13</v>
      </c>
      <c r="R56" s="20">
        <f t="shared" si="0"/>
        <v>25.87</v>
      </c>
      <c r="S56" s="35">
        <f t="shared" si="3"/>
        <v>29</v>
      </c>
      <c r="T56" s="36">
        <v>0</v>
      </c>
      <c r="U56" s="36">
        <v>0</v>
      </c>
      <c r="V56" s="36">
        <v>0</v>
      </c>
      <c r="W56" s="37">
        <v>0</v>
      </c>
      <c r="X56" s="37"/>
      <c r="Y56" s="58">
        <f t="shared" si="4"/>
        <v>29</v>
      </c>
    </row>
    <row r="57" spans="2:25" ht="33" customHeight="1" x14ac:dyDescent="0.25">
      <c r="B57" s="13">
        <v>45969</v>
      </c>
      <c r="C57" s="30" t="s">
        <v>155</v>
      </c>
      <c r="D57" s="30"/>
      <c r="E57" s="30" t="s">
        <v>61</v>
      </c>
      <c r="F57" s="39">
        <v>45975</v>
      </c>
      <c r="G57" s="40" t="s">
        <v>156</v>
      </c>
      <c r="H57" s="17" t="s">
        <v>157</v>
      </c>
      <c r="I57" s="18">
        <v>39</v>
      </c>
      <c r="J57" s="19">
        <v>10</v>
      </c>
      <c r="K57" s="19">
        <f t="shared" si="1"/>
        <v>390</v>
      </c>
      <c r="L57" s="19">
        <v>0</v>
      </c>
      <c r="M57" s="19">
        <v>-120</v>
      </c>
      <c r="N57" s="19">
        <v>120</v>
      </c>
      <c r="O57" s="19">
        <v>-22</v>
      </c>
      <c r="P57" s="19">
        <v>-9</v>
      </c>
      <c r="Q57" s="19">
        <v>-1.8</v>
      </c>
      <c r="R57" s="20">
        <f t="shared" si="0"/>
        <v>357.2</v>
      </c>
      <c r="S57" s="35">
        <f t="shared" si="3"/>
        <v>390</v>
      </c>
      <c r="T57" s="36">
        <v>0</v>
      </c>
      <c r="U57" s="36">
        <v>0</v>
      </c>
      <c r="V57" s="36">
        <v>0</v>
      </c>
      <c r="W57" s="37">
        <v>0</v>
      </c>
      <c r="X57" s="37"/>
      <c r="Y57" s="58">
        <f t="shared" si="4"/>
        <v>390</v>
      </c>
    </row>
    <row r="58" spans="2:25" ht="33" customHeight="1" x14ac:dyDescent="0.25">
      <c r="B58" s="13">
        <v>45969</v>
      </c>
      <c r="C58" s="30" t="s">
        <v>158</v>
      </c>
      <c r="D58" s="30"/>
      <c r="E58" s="30" t="s">
        <v>61</v>
      </c>
      <c r="F58" s="39">
        <v>45972</v>
      </c>
      <c r="G58" s="40" t="s">
        <v>159</v>
      </c>
      <c r="H58" s="17" t="s">
        <v>157</v>
      </c>
      <c r="I58" s="18">
        <v>39</v>
      </c>
      <c r="J58" s="19">
        <v>1</v>
      </c>
      <c r="K58" s="19">
        <f t="shared" si="1"/>
        <v>39</v>
      </c>
      <c r="L58" s="19">
        <v>0</v>
      </c>
      <c r="M58" s="19">
        <v>-36</v>
      </c>
      <c r="N58" s="19">
        <v>36</v>
      </c>
      <c r="O58" s="19">
        <v>-2</v>
      </c>
      <c r="P58" s="19">
        <v>-1</v>
      </c>
      <c r="Q58" s="19">
        <v>-0.18</v>
      </c>
      <c r="R58" s="20">
        <f t="shared" si="0"/>
        <v>35.82</v>
      </c>
      <c r="S58" s="35">
        <f t="shared" si="3"/>
        <v>39</v>
      </c>
      <c r="T58" s="36">
        <v>0</v>
      </c>
      <c r="U58" s="36">
        <v>0</v>
      </c>
      <c r="V58" s="36">
        <v>0</v>
      </c>
      <c r="W58" s="37">
        <v>0</v>
      </c>
      <c r="X58" s="37"/>
      <c r="Y58" s="58">
        <f t="shared" si="4"/>
        <v>39</v>
      </c>
    </row>
    <row r="59" spans="2:25" ht="33" customHeight="1" x14ac:dyDescent="0.25">
      <c r="B59" s="13">
        <v>45969</v>
      </c>
      <c r="C59" s="100" t="s">
        <v>160</v>
      </c>
      <c r="D59" s="100"/>
      <c r="E59" s="30" t="s">
        <v>26</v>
      </c>
      <c r="F59" s="112">
        <v>45975</v>
      </c>
      <c r="G59" s="102" t="s">
        <v>161</v>
      </c>
      <c r="H59" s="17" t="s">
        <v>162</v>
      </c>
      <c r="I59" s="18">
        <v>39</v>
      </c>
      <c r="J59" s="19">
        <v>2</v>
      </c>
      <c r="K59" s="19">
        <f t="shared" si="1"/>
        <v>78</v>
      </c>
      <c r="L59" s="19">
        <v>0</v>
      </c>
      <c r="M59" s="19">
        <v>0</v>
      </c>
      <c r="N59" s="19">
        <v>0</v>
      </c>
      <c r="O59" s="19">
        <f>-(12/6)*2</f>
        <v>-4</v>
      </c>
      <c r="P59" s="19">
        <f>-(5/6)*2</f>
        <v>-1.6666666666666667</v>
      </c>
      <c r="Q59" s="19">
        <f>-(0.99/6)*2</f>
        <v>-0.33</v>
      </c>
      <c r="R59" s="20">
        <f t="shared" si="0"/>
        <v>72.00333333333333</v>
      </c>
      <c r="S59" s="35">
        <f t="shared" si="3"/>
        <v>78</v>
      </c>
      <c r="T59" s="36">
        <v>0</v>
      </c>
      <c r="U59" s="36">
        <v>0</v>
      </c>
      <c r="V59" s="36">
        <v>0</v>
      </c>
      <c r="W59" s="37">
        <v>0</v>
      </c>
      <c r="X59" s="37"/>
      <c r="Y59" s="58">
        <f t="shared" si="4"/>
        <v>78</v>
      </c>
    </row>
    <row r="60" spans="2:25" ht="33" customHeight="1" x14ac:dyDescent="0.25">
      <c r="B60" s="13">
        <v>45969</v>
      </c>
      <c r="C60" s="110"/>
      <c r="D60" s="110"/>
      <c r="E60" s="30" t="s">
        <v>26</v>
      </c>
      <c r="F60" s="113"/>
      <c r="G60" s="111"/>
      <c r="H60" s="17" t="s">
        <v>28</v>
      </c>
      <c r="I60" s="18">
        <v>39</v>
      </c>
      <c r="J60" s="19">
        <v>2</v>
      </c>
      <c r="K60" s="19">
        <f t="shared" si="1"/>
        <v>78</v>
      </c>
      <c r="L60" s="19">
        <v>0</v>
      </c>
      <c r="M60" s="19">
        <v>0</v>
      </c>
      <c r="N60" s="19">
        <v>0</v>
      </c>
      <c r="O60" s="19">
        <f>-(12/6)*2</f>
        <v>-4</v>
      </c>
      <c r="P60" s="19">
        <f>-(5/6)*2</f>
        <v>-1.6666666666666667</v>
      </c>
      <c r="Q60" s="19">
        <f>-(0.99/6)*2</f>
        <v>-0.33</v>
      </c>
      <c r="R60" s="20">
        <f t="shared" si="0"/>
        <v>72.00333333333333</v>
      </c>
      <c r="S60" s="35">
        <f t="shared" si="3"/>
        <v>78</v>
      </c>
      <c r="T60" s="36">
        <v>0</v>
      </c>
      <c r="U60" s="36">
        <v>0</v>
      </c>
      <c r="V60" s="36">
        <v>0</v>
      </c>
      <c r="W60" s="37">
        <v>0</v>
      </c>
      <c r="X60" s="37"/>
      <c r="Y60" s="58">
        <f t="shared" si="4"/>
        <v>78</v>
      </c>
    </row>
    <row r="61" spans="2:25" ht="33" customHeight="1" x14ac:dyDescent="0.25">
      <c r="B61" s="13">
        <v>45969</v>
      </c>
      <c r="C61" s="110"/>
      <c r="D61" s="110"/>
      <c r="E61" s="30" t="s">
        <v>26</v>
      </c>
      <c r="F61" s="113"/>
      <c r="G61" s="111"/>
      <c r="H61" s="17" t="s">
        <v>73</v>
      </c>
      <c r="I61" s="18">
        <v>29</v>
      </c>
      <c r="J61" s="19">
        <v>1</v>
      </c>
      <c r="K61" s="19">
        <f t="shared" si="1"/>
        <v>29</v>
      </c>
      <c r="L61" s="19">
        <v>0</v>
      </c>
      <c r="M61" s="19">
        <v>0</v>
      </c>
      <c r="N61" s="19">
        <v>0</v>
      </c>
      <c r="O61" s="19">
        <f>-(12/6)*1</f>
        <v>-2</v>
      </c>
      <c r="P61" s="19">
        <f>-(5/6)*1</f>
        <v>-0.83333333333333337</v>
      </c>
      <c r="Q61" s="19">
        <f>-(0.99/6)*1</f>
        <v>-0.16500000000000001</v>
      </c>
      <c r="R61" s="20">
        <f t="shared" si="0"/>
        <v>26.001666666666669</v>
      </c>
      <c r="S61" s="35">
        <f t="shared" si="3"/>
        <v>29</v>
      </c>
      <c r="T61" s="36">
        <v>0</v>
      </c>
      <c r="U61" s="36">
        <v>0</v>
      </c>
      <c r="V61" s="36">
        <v>0</v>
      </c>
      <c r="W61" s="37">
        <v>0</v>
      </c>
      <c r="X61" s="37"/>
      <c r="Y61" s="58">
        <f t="shared" si="4"/>
        <v>29</v>
      </c>
    </row>
    <row r="62" spans="2:25" ht="33" customHeight="1" x14ac:dyDescent="0.25">
      <c r="B62" s="13">
        <v>45969</v>
      </c>
      <c r="C62" s="101"/>
      <c r="D62" s="101"/>
      <c r="E62" s="30" t="s">
        <v>26</v>
      </c>
      <c r="F62" s="105"/>
      <c r="G62" s="103"/>
      <c r="H62" s="33" t="s">
        <v>93</v>
      </c>
      <c r="I62" s="18">
        <v>29</v>
      </c>
      <c r="J62" s="19">
        <v>1</v>
      </c>
      <c r="K62" s="19">
        <f t="shared" si="1"/>
        <v>29</v>
      </c>
      <c r="L62" s="19">
        <v>0</v>
      </c>
      <c r="M62" s="19">
        <v>0</v>
      </c>
      <c r="N62" s="19">
        <v>0</v>
      </c>
      <c r="O62" s="19">
        <f>-(12/6)*1</f>
        <v>-2</v>
      </c>
      <c r="P62" s="19">
        <f>-(5/6)*1</f>
        <v>-0.83333333333333337</v>
      </c>
      <c r="Q62" s="19">
        <f>-(0.99/6)*1</f>
        <v>-0.16500000000000001</v>
      </c>
      <c r="R62" s="20">
        <f t="shared" si="0"/>
        <v>26.001666666666669</v>
      </c>
      <c r="S62" s="35">
        <f t="shared" si="3"/>
        <v>29</v>
      </c>
      <c r="T62" s="36">
        <v>0</v>
      </c>
      <c r="U62" s="36">
        <v>0</v>
      </c>
      <c r="V62" s="36">
        <v>0</v>
      </c>
      <c r="W62" s="37">
        <v>0</v>
      </c>
      <c r="X62" s="37"/>
      <c r="Y62" s="58">
        <f t="shared" si="4"/>
        <v>29</v>
      </c>
    </row>
    <row r="63" spans="2:25" ht="33" customHeight="1" x14ac:dyDescent="0.25">
      <c r="B63" s="13">
        <v>45970</v>
      </c>
      <c r="C63" s="30" t="s">
        <v>163</v>
      </c>
      <c r="D63" s="30"/>
      <c r="E63" s="30" t="s">
        <v>26</v>
      </c>
      <c r="F63" s="39">
        <v>45973</v>
      </c>
      <c r="G63" s="40" t="s">
        <v>164</v>
      </c>
      <c r="H63" s="17" t="s">
        <v>118</v>
      </c>
      <c r="I63" s="18">
        <v>29</v>
      </c>
      <c r="J63" s="19">
        <v>20</v>
      </c>
      <c r="K63" s="19">
        <f t="shared" si="1"/>
        <v>580</v>
      </c>
      <c r="L63" s="19">
        <v>0</v>
      </c>
      <c r="M63" s="19">
        <v>-95</v>
      </c>
      <c r="N63" s="19">
        <v>95</v>
      </c>
      <c r="O63" s="19">
        <v>-32</v>
      </c>
      <c r="P63" s="19">
        <v>-13</v>
      </c>
      <c r="Q63" s="19">
        <v>-2.68</v>
      </c>
      <c r="R63" s="20">
        <f t="shared" si="0"/>
        <v>532.32000000000005</v>
      </c>
      <c r="S63" s="35">
        <f t="shared" si="3"/>
        <v>580</v>
      </c>
      <c r="T63" s="36">
        <v>0</v>
      </c>
      <c r="U63" s="36">
        <v>0</v>
      </c>
      <c r="V63" s="36">
        <v>0</v>
      </c>
      <c r="W63" s="37">
        <v>0</v>
      </c>
      <c r="X63" s="37"/>
      <c r="Y63" s="58">
        <f t="shared" si="4"/>
        <v>580</v>
      </c>
    </row>
    <row r="64" spans="2:25" ht="33" customHeight="1" x14ac:dyDescent="0.25">
      <c r="B64" s="13">
        <v>45970</v>
      </c>
      <c r="C64" s="30" t="s">
        <v>165</v>
      </c>
      <c r="D64" s="30"/>
      <c r="E64" s="30" t="s">
        <v>26</v>
      </c>
      <c r="F64" s="39">
        <v>45976</v>
      </c>
      <c r="G64" s="40" t="s">
        <v>166</v>
      </c>
      <c r="H64" s="17" t="s">
        <v>157</v>
      </c>
      <c r="I64" s="18">
        <v>39</v>
      </c>
      <c r="J64" s="19">
        <v>14</v>
      </c>
      <c r="K64" s="19">
        <f t="shared" si="1"/>
        <v>546</v>
      </c>
      <c r="L64" s="19">
        <v>0</v>
      </c>
      <c r="M64" s="19">
        <v>-58</v>
      </c>
      <c r="N64" s="19">
        <v>58</v>
      </c>
      <c r="O64" s="19">
        <v>-31</v>
      </c>
      <c r="P64" s="19">
        <v>-12</v>
      </c>
      <c r="Q64" s="19">
        <v>-2.52</v>
      </c>
      <c r="R64" s="20">
        <f t="shared" si="0"/>
        <v>500.48</v>
      </c>
      <c r="S64" s="35">
        <f t="shared" si="3"/>
        <v>546</v>
      </c>
      <c r="T64" s="36">
        <v>0</v>
      </c>
      <c r="U64" s="36">
        <v>0</v>
      </c>
      <c r="V64" s="36">
        <v>0</v>
      </c>
      <c r="W64" s="37">
        <v>0</v>
      </c>
      <c r="X64" s="37"/>
      <c r="Y64" s="58">
        <f t="shared" si="4"/>
        <v>546</v>
      </c>
    </row>
    <row r="65" spans="2:25" ht="33" customHeight="1" x14ac:dyDescent="0.25">
      <c r="B65" s="13">
        <v>45970</v>
      </c>
      <c r="C65" s="30" t="s">
        <v>167</v>
      </c>
      <c r="D65" s="30"/>
      <c r="E65" s="30" t="s">
        <v>61</v>
      </c>
      <c r="F65" s="39">
        <v>45972</v>
      </c>
      <c r="G65" s="40" t="s">
        <v>168</v>
      </c>
      <c r="H65" s="17" t="s">
        <v>169</v>
      </c>
      <c r="I65" s="18">
        <v>39</v>
      </c>
      <c r="J65" s="19">
        <v>3</v>
      </c>
      <c r="K65" s="19">
        <f t="shared" si="1"/>
        <v>117</v>
      </c>
      <c r="L65" s="19">
        <v>0</v>
      </c>
      <c r="M65" s="19">
        <v>-58</v>
      </c>
      <c r="N65" s="19">
        <v>58</v>
      </c>
      <c r="O65" s="19">
        <v>-7</v>
      </c>
      <c r="P65" s="19">
        <v>-3</v>
      </c>
      <c r="Q65" s="19">
        <v>-0.54</v>
      </c>
      <c r="R65" s="20">
        <f t="shared" si="0"/>
        <v>106.46</v>
      </c>
      <c r="S65" s="35">
        <f t="shared" si="3"/>
        <v>117</v>
      </c>
      <c r="T65" s="36">
        <v>0</v>
      </c>
      <c r="U65" s="36">
        <v>0</v>
      </c>
      <c r="V65" s="36">
        <v>0</v>
      </c>
      <c r="W65" s="37">
        <v>0</v>
      </c>
      <c r="X65" s="37"/>
      <c r="Y65" s="58">
        <f t="shared" si="4"/>
        <v>117</v>
      </c>
    </row>
    <row r="66" spans="2:25" ht="33" customHeight="1" x14ac:dyDescent="0.25">
      <c r="B66" s="13">
        <v>45970</v>
      </c>
      <c r="C66" s="38" t="s">
        <v>170</v>
      </c>
      <c r="D66" s="30"/>
      <c r="E66" s="30" t="s">
        <v>61</v>
      </c>
      <c r="F66" s="39">
        <v>45970</v>
      </c>
      <c r="G66" s="40" t="s">
        <v>171</v>
      </c>
      <c r="H66" s="17" t="s">
        <v>80</v>
      </c>
      <c r="I66" s="18">
        <v>39</v>
      </c>
      <c r="J66" s="19">
        <v>4</v>
      </c>
      <c r="K66" s="19">
        <f t="shared" si="1"/>
        <v>156</v>
      </c>
      <c r="L66" s="19">
        <v>0</v>
      </c>
      <c r="M66" s="19">
        <v>-36</v>
      </c>
      <c r="N66" s="19">
        <v>36</v>
      </c>
      <c r="O66" s="19">
        <v>-9</v>
      </c>
      <c r="P66" s="19">
        <v>-4</v>
      </c>
      <c r="Q66" s="19">
        <v>-0.72</v>
      </c>
      <c r="R66" s="20">
        <f t="shared" ref="R66:R129" si="5">SUM(K66:Q66)</f>
        <v>142.28</v>
      </c>
      <c r="S66" s="35">
        <f t="shared" si="3"/>
        <v>156</v>
      </c>
      <c r="T66" s="36">
        <v>36</v>
      </c>
      <c r="U66" s="36">
        <v>0</v>
      </c>
      <c r="V66" s="36">
        <v>0</v>
      </c>
      <c r="W66" s="37">
        <v>0</v>
      </c>
      <c r="X66" s="37"/>
      <c r="Y66" s="58">
        <f t="shared" si="4"/>
        <v>192</v>
      </c>
    </row>
    <row r="67" spans="2:25" ht="33" customHeight="1" x14ac:dyDescent="0.25">
      <c r="B67" s="13">
        <v>45970</v>
      </c>
      <c r="C67" s="30" t="s">
        <v>172</v>
      </c>
      <c r="D67" s="30"/>
      <c r="E67" s="30" t="s">
        <v>61</v>
      </c>
      <c r="F67" s="39">
        <v>45972</v>
      </c>
      <c r="G67" s="40" t="s">
        <v>173</v>
      </c>
      <c r="H67" s="17" t="s">
        <v>141</v>
      </c>
      <c r="I67" s="18">
        <v>39</v>
      </c>
      <c r="J67" s="19">
        <v>3</v>
      </c>
      <c r="K67" s="19">
        <f t="shared" si="1"/>
        <v>117</v>
      </c>
      <c r="L67" s="19">
        <v>0</v>
      </c>
      <c r="M67" s="19">
        <v>-58</v>
      </c>
      <c r="N67" s="19">
        <v>58</v>
      </c>
      <c r="O67" s="19">
        <v>-7</v>
      </c>
      <c r="P67" s="19">
        <v>-3</v>
      </c>
      <c r="Q67" s="19">
        <v>-0.54</v>
      </c>
      <c r="R67" s="20">
        <f t="shared" si="5"/>
        <v>106.46</v>
      </c>
      <c r="S67" s="35">
        <f t="shared" si="3"/>
        <v>117</v>
      </c>
      <c r="T67" s="36">
        <v>0</v>
      </c>
      <c r="U67" s="36">
        <v>0</v>
      </c>
      <c r="V67" s="36">
        <v>0</v>
      </c>
      <c r="W67" s="37">
        <v>0</v>
      </c>
      <c r="X67" s="37"/>
      <c r="Y67" s="58">
        <f t="shared" si="4"/>
        <v>117</v>
      </c>
    </row>
    <row r="68" spans="2:25" ht="33" customHeight="1" x14ac:dyDescent="0.25">
      <c r="B68" s="13">
        <v>45970</v>
      </c>
      <c r="C68" s="30" t="s">
        <v>174</v>
      </c>
      <c r="D68" s="30"/>
      <c r="E68" s="30" t="s">
        <v>175</v>
      </c>
      <c r="F68" s="62"/>
      <c r="G68" s="40" t="s">
        <v>176</v>
      </c>
      <c r="H68" s="17" t="s">
        <v>36</v>
      </c>
      <c r="I68" s="18">
        <v>39</v>
      </c>
      <c r="J68" s="19">
        <v>2</v>
      </c>
      <c r="K68" s="19">
        <f t="shared" si="1"/>
        <v>78</v>
      </c>
      <c r="L68" s="19">
        <v>0</v>
      </c>
      <c r="M68" s="19">
        <v>-140</v>
      </c>
      <c r="N68" s="19">
        <v>140</v>
      </c>
      <c r="O68" s="19">
        <v>-4</v>
      </c>
      <c r="P68" s="19">
        <v>-2</v>
      </c>
      <c r="Q68" s="19">
        <v>-0.36</v>
      </c>
      <c r="R68" s="20">
        <f t="shared" si="5"/>
        <v>71.64</v>
      </c>
      <c r="S68" s="35">
        <f t="shared" si="3"/>
        <v>78</v>
      </c>
      <c r="T68" s="36">
        <v>0</v>
      </c>
      <c r="U68" s="36">
        <v>0</v>
      </c>
      <c r="V68" s="36">
        <v>0</v>
      </c>
      <c r="W68" s="37">
        <v>0</v>
      </c>
      <c r="X68" s="37"/>
      <c r="Y68" s="58">
        <f t="shared" si="4"/>
        <v>78</v>
      </c>
    </row>
    <row r="69" spans="2:25" ht="33" customHeight="1" x14ac:dyDescent="0.25">
      <c r="B69" s="13">
        <v>45969</v>
      </c>
      <c r="C69" s="100" t="s">
        <v>177</v>
      </c>
      <c r="D69" s="100"/>
      <c r="E69" s="30" t="s">
        <v>175</v>
      </c>
      <c r="F69" s="104"/>
      <c r="G69" s="102" t="s">
        <v>178</v>
      </c>
      <c r="H69" s="17" t="s">
        <v>42</v>
      </c>
      <c r="I69" s="18">
        <v>29</v>
      </c>
      <c r="J69" s="19">
        <v>2</v>
      </c>
      <c r="K69" s="19">
        <f t="shared" si="1"/>
        <v>58</v>
      </c>
      <c r="L69" s="19">
        <v>0</v>
      </c>
      <c r="M69" s="19">
        <f>-(115/2)</f>
        <v>-57.5</v>
      </c>
      <c r="N69" s="19">
        <f>115/2</f>
        <v>57.5</v>
      </c>
      <c r="O69" s="19">
        <v>-3</v>
      </c>
      <c r="P69" s="19">
        <v>-1.5</v>
      </c>
      <c r="Q69" s="19">
        <f>-(0.54/2)</f>
        <v>-0.27</v>
      </c>
      <c r="R69" s="20">
        <f t="shared" si="5"/>
        <v>53.23</v>
      </c>
      <c r="S69" s="35">
        <f t="shared" si="3"/>
        <v>58</v>
      </c>
      <c r="T69" s="36">
        <v>0</v>
      </c>
      <c r="U69" s="36">
        <v>-3</v>
      </c>
      <c r="V69" s="36">
        <v>0</v>
      </c>
      <c r="W69" s="37">
        <v>0</v>
      </c>
      <c r="X69" s="37"/>
      <c r="Y69" s="58">
        <f t="shared" si="4"/>
        <v>55</v>
      </c>
    </row>
    <row r="70" spans="2:25" ht="33" customHeight="1" x14ac:dyDescent="0.25">
      <c r="B70" s="13">
        <v>45969</v>
      </c>
      <c r="C70" s="101"/>
      <c r="D70" s="101"/>
      <c r="E70" s="34" t="s">
        <v>175</v>
      </c>
      <c r="F70" s="105"/>
      <c r="G70" s="103"/>
      <c r="H70" s="17" t="s">
        <v>45</v>
      </c>
      <c r="I70" s="18">
        <v>29</v>
      </c>
      <c r="J70" s="19">
        <v>2</v>
      </c>
      <c r="K70" s="19">
        <f t="shared" si="1"/>
        <v>58</v>
      </c>
      <c r="L70" s="19">
        <v>0</v>
      </c>
      <c r="M70" s="19">
        <f>-(115/2)</f>
        <v>-57.5</v>
      </c>
      <c r="N70" s="19">
        <f>115/2</f>
        <v>57.5</v>
      </c>
      <c r="O70" s="19">
        <v>-3</v>
      </c>
      <c r="P70" s="19">
        <v>-1.5</v>
      </c>
      <c r="Q70" s="19">
        <v>-0.27</v>
      </c>
      <c r="R70" s="20">
        <f t="shared" si="5"/>
        <v>53.23</v>
      </c>
      <c r="S70" s="35">
        <f t="shared" si="3"/>
        <v>58</v>
      </c>
      <c r="T70" s="36">
        <v>0</v>
      </c>
      <c r="U70" s="36">
        <v>-3</v>
      </c>
      <c r="V70" s="36">
        <v>0</v>
      </c>
      <c r="W70" s="37">
        <v>0</v>
      </c>
      <c r="X70" s="37"/>
      <c r="Y70" s="58">
        <f t="shared" si="4"/>
        <v>55</v>
      </c>
    </row>
    <row r="71" spans="2:25" ht="33" customHeight="1" x14ac:dyDescent="0.25">
      <c r="B71" s="13">
        <v>45970</v>
      </c>
      <c r="C71" s="100" t="s">
        <v>179</v>
      </c>
      <c r="D71" s="100"/>
      <c r="E71" s="30" t="s">
        <v>61</v>
      </c>
      <c r="F71" s="61">
        <v>45972</v>
      </c>
      <c r="G71" s="102" t="s">
        <v>180</v>
      </c>
      <c r="H71" s="17" t="s">
        <v>103</v>
      </c>
      <c r="I71" s="18">
        <v>39</v>
      </c>
      <c r="J71" s="19">
        <v>8</v>
      </c>
      <c r="K71" s="19">
        <f t="shared" ref="K71:K153" si="6">I71*J71</f>
        <v>312</v>
      </c>
      <c r="L71" s="19">
        <v>0</v>
      </c>
      <c r="M71" s="19">
        <f>-(125/39)*8</f>
        <v>-25.641025641025642</v>
      </c>
      <c r="N71" s="19">
        <f>(125/39)*8</f>
        <v>25.641025641025642</v>
      </c>
      <c r="O71" s="19">
        <f>-(85/39)*8</f>
        <v>-17.435897435897434</v>
      </c>
      <c r="P71" s="19">
        <f>-(34/39)*8</f>
        <v>-6.9743589743589745</v>
      </c>
      <c r="Q71" s="19">
        <f>-(7.01/39)*8</f>
        <v>-1.4379487179487178</v>
      </c>
      <c r="R71" s="20">
        <f t="shared" si="5"/>
        <v>286.15179487179489</v>
      </c>
      <c r="S71" s="35">
        <f t="shared" si="3"/>
        <v>312</v>
      </c>
      <c r="T71" s="36">
        <v>0</v>
      </c>
      <c r="U71" s="36">
        <f>-(191/4)</f>
        <v>-47.75</v>
      </c>
      <c r="V71" s="36">
        <v>0</v>
      </c>
      <c r="W71" s="37">
        <v>0</v>
      </c>
      <c r="X71" s="37"/>
      <c r="Y71" s="58">
        <f t="shared" si="4"/>
        <v>264.25</v>
      </c>
    </row>
    <row r="72" spans="2:25" ht="33" customHeight="1" x14ac:dyDescent="0.25">
      <c r="B72" s="13">
        <v>45970</v>
      </c>
      <c r="C72" s="110"/>
      <c r="D72" s="110"/>
      <c r="E72" s="30" t="s">
        <v>61</v>
      </c>
      <c r="F72" s="61">
        <v>45972</v>
      </c>
      <c r="G72" s="111"/>
      <c r="H72" s="17" t="s">
        <v>63</v>
      </c>
      <c r="I72" s="18">
        <v>39</v>
      </c>
      <c r="J72" s="19">
        <v>12</v>
      </c>
      <c r="K72" s="19">
        <f t="shared" si="6"/>
        <v>468</v>
      </c>
      <c r="L72" s="19">
        <v>0</v>
      </c>
      <c r="M72" s="19">
        <f>-(125/39)*12</f>
        <v>-38.461538461538467</v>
      </c>
      <c r="N72" s="19">
        <f>(125/39)*12</f>
        <v>38.461538461538467</v>
      </c>
      <c r="O72" s="19">
        <f>-(85/39)*12</f>
        <v>-26.153846153846153</v>
      </c>
      <c r="P72" s="19">
        <f>-(34/39)*12</f>
        <v>-10.461538461538462</v>
      </c>
      <c r="Q72" s="19">
        <f>-(7.01/39)*12</f>
        <v>-2.1569230769230767</v>
      </c>
      <c r="R72" s="20">
        <f t="shared" si="5"/>
        <v>429.22769230769234</v>
      </c>
      <c r="S72" s="35">
        <f t="shared" si="3"/>
        <v>468</v>
      </c>
      <c r="T72" s="36">
        <v>0</v>
      </c>
      <c r="U72" s="36">
        <f>-(191/4)</f>
        <v>-47.75</v>
      </c>
      <c r="V72" s="36">
        <v>0</v>
      </c>
      <c r="W72" s="37">
        <v>0</v>
      </c>
      <c r="X72" s="37"/>
      <c r="Y72" s="58">
        <f t="shared" si="4"/>
        <v>420.25</v>
      </c>
    </row>
    <row r="73" spans="2:25" ht="33" customHeight="1" x14ac:dyDescent="0.25">
      <c r="B73" s="13">
        <v>45970</v>
      </c>
      <c r="C73" s="110"/>
      <c r="D73" s="110"/>
      <c r="E73" s="30" t="s">
        <v>61</v>
      </c>
      <c r="F73" s="61">
        <v>45972</v>
      </c>
      <c r="G73" s="111"/>
      <c r="H73" s="17" t="s">
        <v>157</v>
      </c>
      <c r="I73" s="18">
        <v>39</v>
      </c>
      <c r="J73" s="19">
        <v>7</v>
      </c>
      <c r="K73" s="19">
        <f t="shared" si="6"/>
        <v>273</v>
      </c>
      <c r="L73" s="19">
        <v>0</v>
      </c>
      <c r="M73" s="19">
        <f>-(125/39)*7</f>
        <v>-22.435897435897438</v>
      </c>
      <c r="N73" s="19">
        <f>(125/39)*7</f>
        <v>22.435897435897438</v>
      </c>
      <c r="O73" s="19">
        <f>-(85/39)*7</f>
        <v>-15.256410256410255</v>
      </c>
      <c r="P73" s="19">
        <f>-(34/39)*7</f>
        <v>-6.1025641025641022</v>
      </c>
      <c r="Q73" s="19">
        <f>-(7.01/39)*7</f>
        <v>-1.2582051282051281</v>
      </c>
      <c r="R73" s="20">
        <f t="shared" si="5"/>
        <v>250.3828205128205</v>
      </c>
      <c r="S73" s="35">
        <f t="shared" si="3"/>
        <v>273</v>
      </c>
      <c r="T73" s="36">
        <v>0</v>
      </c>
      <c r="U73" s="36">
        <f>-(191/4)</f>
        <v>-47.75</v>
      </c>
      <c r="V73" s="36">
        <v>0</v>
      </c>
      <c r="W73" s="37">
        <v>0</v>
      </c>
      <c r="X73" s="37"/>
      <c r="Y73" s="58">
        <f t="shared" si="4"/>
        <v>225.25</v>
      </c>
    </row>
    <row r="74" spans="2:25" ht="33" customHeight="1" x14ac:dyDescent="0.25">
      <c r="B74" s="13">
        <v>45970</v>
      </c>
      <c r="C74" s="101"/>
      <c r="D74" s="101"/>
      <c r="E74" s="30" t="s">
        <v>61</v>
      </c>
      <c r="F74" s="61">
        <v>45972</v>
      </c>
      <c r="G74" s="103"/>
      <c r="H74" s="17" t="s">
        <v>36</v>
      </c>
      <c r="I74" s="18">
        <v>39</v>
      </c>
      <c r="J74" s="19">
        <v>12</v>
      </c>
      <c r="K74" s="19">
        <f t="shared" si="6"/>
        <v>468</v>
      </c>
      <c r="L74" s="19">
        <v>0</v>
      </c>
      <c r="M74" s="19">
        <f>-(125/39)*12</f>
        <v>-38.461538461538467</v>
      </c>
      <c r="N74" s="19">
        <f>(125/39)*12</f>
        <v>38.461538461538467</v>
      </c>
      <c r="O74" s="19">
        <f>-(85/39)*12</f>
        <v>-26.153846153846153</v>
      </c>
      <c r="P74" s="19">
        <f>-(34/39)*12</f>
        <v>-10.461538461538462</v>
      </c>
      <c r="Q74" s="19">
        <f>-(7.01/39)*12</f>
        <v>-2.1569230769230767</v>
      </c>
      <c r="R74" s="20">
        <f t="shared" si="5"/>
        <v>429.22769230769234</v>
      </c>
      <c r="S74" s="35">
        <f t="shared" si="3"/>
        <v>468</v>
      </c>
      <c r="T74" s="36">
        <v>0</v>
      </c>
      <c r="U74" s="36">
        <f>-(191/4)</f>
        <v>-47.75</v>
      </c>
      <c r="V74" s="36">
        <v>0</v>
      </c>
      <c r="W74" s="37">
        <v>0</v>
      </c>
      <c r="X74" s="37"/>
      <c r="Y74" s="58">
        <f t="shared" si="4"/>
        <v>420.25</v>
      </c>
    </row>
    <row r="75" spans="2:25" ht="33" customHeight="1" x14ac:dyDescent="0.25">
      <c r="B75" s="13">
        <v>45971</v>
      </c>
      <c r="C75" s="30" t="s">
        <v>181</v>
      </c>
      <c r="D75" s="30"/>
      <c r="E75" s="30" t="s">
        <v>61</v>
      </c>
      <c r="F75" s="39">
        <v>45972</v>
      </c>
      <c r="G75" s="40" t="s">
        <v>182</v>
      </c>
      <c r="H75" s="17" t="s">
        <v>63</v>
      </c>
      <c r="I75" s="18">
        <v>39</v>
      </c>
      <c r="J75" s="19">
        <v>4</v>
      </c>
      <c r="K75" s="19">
        <f t="shared" si="6"/>
        <v>156</v>
      </c>
      <c r="L75" s="19">
        <v>0</v>
      </c>
      <c r="M75" s="19">
        <v>-36</v>
      </c>
      <c r="N75" s="19">
        <v>36</v>
      </c>
      <c r="O75" s="19">
        <v>-9</v>
      </c>
      <c r="P75" s="19">
        <v>-3</v>
      </c>
      <c r="Q75" s="19">
        <v>-0.72</v>
      </c>
      <c r="R75" s="20">
        <f t="shared" si="5"/>
        <v>143.28</v>
      </c>
      <c r="S75" s="35">
        <f t="shared" si="3"/>
        <v>156</v>
      </c>
      <c r="T75" s="36">
        <v>0</v>
      </c>
      <c r="U75" s="36">
        <v>0</v>
      </c>
      <c r="V75" s="36">
        <v>0</v>
      </c>
      <c r="W75" s="37">
        <v>0</v>
      </c>
      <c r="X75" s="37"/>
      <c r="Y75" s="58">
        <f t="shared" si="4"/>
        <v>156</v>
      </c>
    </row>
    <row r="76" spans="2:25" ht="33" customHeight="1" x14ac:dyDescent="0.25">
      <c r="B76" s="13">
        <v>45971</v>
      </c>
      <c r="C76" s="30" t="s">
        <v>183</v>
      </c>
      <c r="D76" s="30"/>
      <c r="E76" s="30" t="s">
        <v>175</v>
      </c>
      <c r="F76" s="62"/>
      <c r="G76" s="40" t="s">
        <v>184</v>
      </c>
      <c r="H76" s="17" t="s">
        <v>103</v>
      </c>
      <c r="I76" s="18">
        <v>39</v>
      </c>
      <c r="J76" s="19">
        <v>1</v>
      </c>
      <c r="K76" s="19">
        <f t="shared" si="6"/>
        <v>39</v>
      </c>
      <c r="L76" s="19">
        <v>0</v>
      </c>
      <c r="M76" s="19">
        <v>-140</v>
      </c>
      <c r="N76" s="19">
        <v>140</v>
      </c>
      <c r="O76" s="19">
        <v>-2</v>
      </c>
      <c r="P76" s="19">
        <v>-1</v>
      </c>
      <c r="Q76" s="19">
        <v>-0.18</v>
      </c>
      <c r="R76" s="20">
        <f t="shared" si="5"/>
        <v>35.82</v>
      </c>
      <c r="S76" s="35">
        <f t="shared" si="3"/>
        <v>39</v>
      </c>
      <c r="T76" s="36">
        <v>0</v>
      </c>
      <c r="U76" s="36">
        <v>0</v>
      </c>
      <c r="V76" s="36">
        <v>0</v>
      </c>
      <c r="W76" s="37">
        <v>0</v>
      </c>
      <c r="X76" s="37"/>
      <c r="Y76" s="58">
        <f t="shared" si="4"/>
        <v>39</v>
      </c>
    </row>
    <row r="77" spans="2:25" ht="33" customHeight="1" x14ac:dyDescent="0.25">
      <c r="B77" s="13">
        <v>45971</v>
      </c>
      <c r="C77" s="30" t="s">
        <v>185</v>
      </c>
      <c r="D77" s="30"/>
      <c r="E77" s="30" t="s">
        <v>61</v>
      </c>
      <c r="F77" s="39">
        <v>45974</v>
      </c>
      <c r="G77" s="40" t="s">
        <v>186</v>
      </c>
      <c r="H77" s="17" t="s">
        <v>39</v>
      </c>
      <c r="I77" s="18">
        <v>39</v>
      </c>
      <c r="J77" s="19">
        <v>3</v>
      </c>
      <c r="K77" s="19">
        <f t="shared" si="6"/>
        <v>117</v>
      </c>
      <c r="L77" s="19">
        <v>0</v>
      </c>
      <c r="M77" s="19">
        <v>-58</v>
      </c>
      <c r="N77" s="19">
        <v>58</v>
      </c>
      <c r="O77" s="19">
        <v>-7</v>
      </c>
      <c r="P77" s="19">
        <v>-3</v>
      </c>
      <c r="Q77" s="19">
        <v>-0.54</v>
      </c>
      <c r="R77" s="20">
        <f t="shared" si="5"/>
        <v>106.46</v>
      </c>
      <c r="S77" s="35">
        <f t="shared" si="3"/>
        <v>117</v>
      </c>
      <c r="T77" s="36">
        <v>0</v>
      </c>
      <c r="U77" s="36">
        <v>0</v>
      </c>
      <c r="V77" s="36">
        <v>0</v>
      </c>
      <c r="W77" s="37">
        <v>0</v>
      </c>
      <c r="X77" s="37"/>
      <c r="Y77" s="58">
        <f t="shared" si="4"/>
        <v>117</v>
      </c>
    </row>
    <row r="78" spans="2:25" ht="33" customHeight="1" x14ac:dyDescent="0.25">
      <c r="B78" s="13">
        <v>45971</v>
      </c>
      <c r="C78" s="30" t="s">
        <v>187</v>
      </c>
      <c r="D78" s="30"/>
      <c r="E78" s="30" t="s">
        <v>61</v>
      </c>
      <c r="F78" s="39">
        <v>45971</v>
      </c>
      <c r="G78" s="40" t="s">
        <v>188</v>
      </c>
      <c r="H78" s="17" t="s">
        <v>63</v>
      </c>
      <c r="I78" s="18">
        <v>39</v>
      </c>
      <c r="J78" s="19">
        <v>4</v>
      </c>
      <c r="K78" s="19">
        <f t="shared" si="6"/>
        <v>156</v>
      </c>
      <c r="L78" s="19">
        <v>0</v>
      </c>
      <c r="M78" s="19">
        <v>-36</v>
      </c>
      <c r="N78" s="19">
        <v>36</v>
      </c>
      <c r="O78" s="19">
        <v>-9</v>
      </c>
      <c r="P78" s="19">
        <v>-3</v>
      </c>
      <c r="Q78" s="19">
        <v>-0.72</v>
      </c>
      <c r="R78" s="20">
        <f t="shared" si="5"/>
        <v>143.28</v>
      </c>
      <c r="S78" s="35">
        <f t="shared" si="3"/>
        <v>156</v>
      </c>
      <c r="T78" s="36">
        <v>0</v>
      </c>
      <c r="U78" s="36">
        <v>0</v>
      </c>
      <c r="V78" s="36">
        <v>0</v>
      </c>
      <c r="W78" s="37">
        <v>0</v>
      </c>
      <c r="X78" s="37"/>
      <c r="Y78" s="58">
        <f t="shared" si="4"/>
        <v>156</v>
      </c>
    </row>
    <row r="79" spans="2:25" ht="33" customHeight="1" x14ac:dyDescent="0.25">
      <c r="B79" s="13">
        <v>45971</v>
      </c>
      <c r="C79" s="30" t="s">
        <v>189</v>
      </c>
      <c r="D79" s="30"/>
      <c r="E79" s="30" t="s">
        <v>175</v>
      </c>
      <c r="F79" s="62"/>
      <c r="G79" s="40" t="s">
        <v>190</v>
      </c>
      <c r="H79" s="17" t="s">
        <v>39</v>
      </c>
      <c r="I79" s="18">
        <v>39</v>
      </c>
      <c r="J79" s="19">
        <v>4</v>
      </c>
      <c r="K79" s="19">
        <f t="shared" si="6"/>
        <v>156</v>
      </c>
      <c r="L79" s="19">
        <v>0</v>
      </c>
      <c r="M79" s="19">
        <v>-120</v>
      </c>
      <c r="N79" s="19">
        <v>120</v>
      </c>
      <c r="O79" s="19">
        <v>-9</v>
      </c>
      <c r="P79" s="19">
        <v>-3</v>
      </c>
      <c r="Q79" s="19">
        <v>-0.72</v>
      </c>
      <c r="R79" s="20">
        <f t="shared" si="5"/>
        <v>143.28</v>
      </c>
      <c r="S79" s="35">
        <f t="shared" si="3"/>
        <v>156</v>
      </c>
      <c r="T79" s="36">
        <v>0</v>
      </c>
      <c r="U79" s="36">
        <v>0</v>
      </c>
      <c r="V79" s="36">
        <v>0</v>
      </c>
      <c r="W79" s="37">
        <v>0</v>
      </c>
      <c r="X79" s="37"/>
      <c r="Y79" s="58">
        <f t="shared" si="4"/>
        <v>156</v>
      </c>
    </row>
    <row r="80" spans="2:25" ht="33" customHeight="1" x14ac:dyDescent="0.25">
      <c r="B80" s="13">
        <v>45971</v>
      </c>
      <c r="C80" s="30" t="s">
        <v>191</v>
      </c>
      <c r="D80" s="30"/>
      <c r="E80" s="30" t="s">
        <v>26</v>
      </c>
      <c r="F80" s="39">
        <v>45976</v>
      </c>
      <c r="G80" s="40" t="s">
        <v>192</v>
      </c>
      <c r="H80" s="17" t="s">
        <v>51</v>
      </c>
      <c r="I80" s="18">
        <v>39</v>
      </c>
      <c r="J80" s="19">
        <v>1</v>
      </c>
      <c r="K80" s="19">
        <f t="shared" si="6"/>
        <v>39</v>
      </c>
      <c r="L80" s="19">
        <v>0</v>
      </c>
      <c r="M80" s="19">
        <v>-58</v>
      </c>
      <c r="N80" s="19">
        <v>58</v>
      </c>
      <c r="O80" s="19">
        <v>-2</v>
      </c>
      <c r="P80" s="19">
        <v>-1</v>
      </c>
      <c r="Q80" s="19">
        <v>-0.18</v>
      </c>
      <c r="R80" s="20">
        <f t="shared" si="5"/>
        <v>35.82</v>
      </c>
      <c r="S80" s="35">
        <f t="shared" si="3"/>
        <v>39</v>
      </c>
      <c r="T80" s="36">
        <v>0</v>
      </c>
      <c r="U80" s="36">
        <v>0</v>
      </c>
      <c r="V80" s="36">
        <v>0</v>
      </c>
      <c r="W80" s="37">
        <v>0</v>
      </c>
      <c r="X80" s="37"/>
      <c r="Y80" s="58">
        <f t="shared" si="4"/>
        <v>39</v>
      </c>
    </row>
    <row r="81" spans="2:25" ht="33" customHeight="1" x14ac:dyDescent="0.25">
      <c r="B81" s="13">
        <v>45971</v>
      </c>
      <c r="C81" s="30" t="s">
        <v>193</v>
      </c>
      <c r="D81" s="30"/>
      <c r="E81" s="30" t="s">
        <v>26</v>
      </c>
      <c r="F81" s="39">
        <v>45973</v>
      </c>
      <c r="G81" s="40" t="s">
        <v>194</v>
      </c>
      <c r="H81" s="17" t="s">
        <v>28</v>
      </c>
      <c r="I81" s="18">
        <v>39</v>
      </c>
      <c r="J81" s="19">
        <v>5</v>
      </c>
      <c r="K81" s="19">
        <f t="shared" si="6"/>
        <v>195</v>
      </c>
      <c r="L81" s="19"/>
      <c r="M81" s="19">
        <v>-58</v>
      </c>
      <c r="N81" s="19">
        <v>58</v>
      </c>
      <c r="O81" s="19">
        <v>-11</v>
      </c>
      <c r="P81" s="19">
        <v>-4</v>
      </c>
      <c r="Q81" s="19">
        <v>-0.9</v>
      </c>
      <c r="R81" s="20">
        <f t="shared" si="5"/>
        <v>179.1</v>
      </c>
      <c r="S81" s="35">
        <f t="shared" si="3"/>
        <v>195</v>
      </c>
      <c r="T81" s="36">
        <v>0</v>
      </c>
      <c r="U81" s="36">
        <v>0</v>
      </c>
      <c r="V81" s="36">
        <v>0</v>
      </c>
      <c r="W81" s="37">
        <v>0</v>
      </c>
      <c r="X81" s="37"/>
      <c r="Y81" s="58">
        <f t="shared" si="4"/>
        <v>195</v>
      </c>
    </row>
    <row r="82" spans="2:25" ht="33" customHeight="1" x14ac:dyDescent="0.25">
      <c r="B82" s="13">
        <v>45972</v>
      </c>
      <c r="C82" s="30" t="s">
        <v>195</v>
      </c>
      <c r="D82" s="30"/>
      <c r="E82" s="30" t="s">
        <v>26</v>
      </c>
      <c r="F82" s="39">
        <v>45976</v>
      </c>
      <c r="G82" s="40" t="s">
        <v>196</v>
      </c>
      <c r="H82" s="17" t="s">
        <v>28</v>
      </c>
      <c r="I82" s="18">
        <v>39</v>
      </c>
      <c r="J82" s="19">
        <v>5</v>
      </c>
      <c r="K82" s="19">
        <f t="shared" si="6"/>
        <v>195</v>
      </c>
      <c r="L82" s="19"/>
      <c r="M82" s="19">
        <v>-36</v>
      </c>
      <c r="N82" s="19">
        <v>36</v>
      </c>
      <c r="O82" s="19">
        <v>-11</v>
      </c>
      <c r="P82" s="19">
        <v>-4</v>
      </c>
      <c r="Q82" s="19">
        <v>-0.91</v>
      </c>
      <c r="R82" s="20">
        <f t="shared" si="5"/>
        <v>179.09</v>
      </c>
      <c r="S82" s="35">
        <f t="shared" si="3"/>
        <v>195</v>
      </c>
      <c r="T82" s="36">
        <v>0</v>
      </c>
      <c r="U82" s="36">
        <v>0</v>
      </c>
      <c r="V82" s="36">
        <v>0</v>
      </c>
      <c r="W82" s="37">
        <v>0</v>
      </c>
      <c r="X82" s="37"/>
      <c r="Y82" s="58">
        <f t="shared" si="4"/>
        <v>195</v>
      </c>
    </row>
    <row r="83" spans="2:25" ht="33" customHeight="1" x14ac:dyDescent="0.25">
      <c r="B83" s="13">
        <v>45972</v>
      </c>
      <c r="C83" s="30" t="s">
        <v>197</v>
      </c>
      <c r="D83" s="30"/>
      <c r="E83" s="30" t="s">
        <v>26</v>
      </c>
      <c r="F83" s="39">
        <v>45976</v>
      </c>
      <c r="G83" s="40" t="s">
        <v>136</v>
      </c>
      <c r="H83" s="17" t="s">
        <v>118</v>
      </c>
      <c r="I83" s="18">
        <v>29</v>
      </c>
      <c r="J83" s="19">
        <v>3</v>
      </c>
      <c r="K83" s="19">
        <f>I83*J83</f>
        <v>87</v>
      </c>
      <c r="L83" s="19">
        <v>33</v>
      </c>
      <c r="M83" s="19">
        <v>-58</v>
      </c>
      <c r="N83" s="19">
        <v>25</v>
      </c>
      <c r="O83" s="19">
        <v>-5</v>
      </c>
      <c r="P83" s="19">
        <v>-3</v>
      </c>
      <c r="Q83" s="19">
        <v>-0.4</v>
      </c>
      <c r="R83" s="20">
        <f t="shared" si="5"/>
        <v>78.599999999999994</v>
      </c>
      <c r="S83" s="35">
        <f t="shared" si="3"/>
        <v>87</v>
      </c>
      <c r="T83" s="36">
        <v>33</v>
      </c>
      <c r="U83" s="36">
        <v>0</v>
      </c>
      <c r="V83" s="36">
        <v>0</v>
      </c>
      <c r="W83" s="37">
        <v>0</v>
      </c>
      <c r="X83" s="37"/>
      <c r="Y83" s="58">
        <f>SUM(S83:W83)</f>
        <v>120</v>
      </c>
    </row>
    <row r="84" spans="2:25" ht="33" customHeight="1" x14ac:dyDescent="0.25">
      <c r="B84" s="13">
        <v>45972</v>
      </c>
      <c r="C84" s="30" t="s">
        <v>198</v>
      </c>
      <c r="D84" s="30"/>
      <c r="E84" s="30" t="s">
        <v>61</v>
      </c>
      <c r="F84" s="39">
        <v>45974</v>
      </c>
      <c r="G84" s="40" t="s">
        <v>79</v>
      </c>
      <c r="H84" s="17" t="s">
        <v>103</v>
      </c>
      <c r="I84" s="18">
        <v>39</v>
      </c>
      <c r="J84" s="19">
        <v>15</v>
      </c>
      <c r="K84" s="19">
        <f t="shared" si="6"/>
        <v>585</v>
      </c>
      <c r="L84" s="19">
        <v>0</v>
      </c>
      <c r="M84" s="19">
        <v>-58</v>
      </c>
      <c r="N84" s="19">
        <v>58</v>
      </c>
      <c r="O84" s="19">
        <v>-33</v>
      </c>
      <c r="P84" s="19">
        <v>-13</v>
      </c>
      <c r="Q84" s="19">
        <v>-2.7</v>
      </c>
      <c r="R84" s="20">
        <f t="shared" si="5"/>
        <v>536.29999999999995</v>
      </c>
      <c r="S84" s="35">
        <f t="shared" si="3"/>
        <v>585</v>
      </c>
      <c r="T84" s="36">
        <v>0</v>
      </c>
      <c r="U84" s="36">
        <v>-71</v>
      </c>
      <c r="V84" s="36">
        <v>0</v>
      </c>
      <c r="W84" s="37">
        <v>0</v>
      </c>
      <c r="X84" s="37"/>
      <c r="Y84" s="58">
        <f t="shared" si="4"/>
        <v>514</v>
      </c>
    </row>
    <row r="85" spans="2:25" ht="33" customHeight="1" x14ac:dyDescent="0.25">
      <c r="B85" s="13">
        <v>45972</v>
      </c>
      <c r="C85" s="30" t="s">
        <v>199</v>
      </c>
      <c r="D85" s="30"/>
      <c r="E85" s="30" t="s">
        <v>175</v>
      </c>
      <c r="F85" s="62"/>
      <c r="G85" s="40" t="s">
        <v>200</v>
      </c>
      <c r="H85" s="17" t="s">
        <v>141</v>
      </c>
      <c r="I85" s="18">
        <v>39</v>
      </c>
      <c r="J85" s="19">
        <v>7</v>
      </c>
      <c r="K85" s="19">
        <f t="shared" si="6"/>
        <v>273</v>
      </c>
      <c r="L85" s="19">
        <v>0</v>
      </c>
      <c r="M85" s="19">
        <v>0</v>
      </c>
      <c r="N85" s="19">
        <v>0</v>
      </c>
      <c r="O85" s="19">
        <v>-15</v>
      </c>
      <c r="P85" s="19">
        <v>-6</v>
      </c>
      <c r="Q85" s="19">
        <v>-1.26</v>
      </c>
      <c r="R85" s="20">
        <f t="shared" si="5"/>
        <v>250.74</v>
      </c>
      <c r="S85" s="35">
        <f t="shared" si="3"/>
        <v>273</v>
      </c>
      <c r="T85" s="36">
        <v>0</v>
      </c>
      <c r="U85" s="36">
        <v>0</v>
      </c>
      <c r="V85" s="36">
        <v>0</v>
      </c>
      <c r="W85" s="37">
        <v>0</v>
      </c>
      <c r="X85" s="37"/>
      <c r="Y85" s="58">
        <f t="shared" si="4"/>
        <v>273</v>
      </c>
    </row>
    <row r="86" spans="2:25" ht="33" customHeight="1" x14ac:dyDescent="0.25">
      <c r="B86" s="13">
        <v>45972</v>
      </c>
      <c r="C86" s="30" t="s">
        <v>201</v>
      </c>
      <c r="D86" s="30"/>
      <c r="E86" s="30" t="s">
        <v>175</v>
      </c>
      <c r="F86" s="62"/>
      <c r="G86" s="40" t="s">
        <v>202</v>
      </c>
      <c r="H86" s="17" t="s">
        <v>55</v>
      </c>
      <c r="I86" s="18">
        <v>39</v>
      </c>
      <c r="J86" s="19">
        <v>16</v>
      </c>
      <c r="K86" s="19">
        <f t="shared" si="6"/>
        <v>624</v>
      </c>
      <c r="L86" s="19">
        <v>0</v>
      </c>
      <c r="M86" s="19">
        <v>-146</v>
      </c>
      <c r="N86" s="19">
        <v>146</v>
      </c>
      <c r="O86" s="19">
        <v>-35</v>
      </c>
      <c r="P86" s="19">
        <v>-14</v>
      </c>
      <c r="Q86" s="19">
        <v>-2.88</v>
      </c>
      <c r="R86" s="20">
        <f t="shared" si="5"/>
        <v>572.12</v>
      </c>
      <c r="S86" s="35">
        <f t="shared" si="3"/>
        <v>624</v>
      </c>
      <c r="T86" s="36">
        <v>0</v>
      </c>
      <c r="U86" s="36">
        <v>0</v>
      </c>
      <c r="V86" s="36">
        <v>0</v>
      </c>
      <c r="W86" s="37">
        <v>0</v>
      </c>
      <c r="X86" s="37"/>
      <c r="Y86" s="58">
        <f t="shared" si="4"/>
        <v>624</v>
      </c>
    </row>
    <row r="87" spans="2:25" ht="33" customHeight="1" x14ac:dyDescent="0.25">
      <c r="B87" s="13">
        <v>45972</v>
      </c>
      <c r="C87" s="100" t="s">
        <v>203</v>
      </c>
      <c r="D87" s="30"/>
      <c r="E87" s="30" t="s">
        <v>26</v>
      </c>
      <c r="F87" s="39">
        <v>45976</v>
      </c>
      <c r="G87" s="102" t="s">
        <v>204</v>
      </c>
      <c r="H87" s="17" t="s">
        <v>148</v>
      </c>
      <c r="I87" s="18">
        <v>29</v>
      </c>
      <c r="J87" s="19">
        <v>2</v>
      </c>
      <c r="K87" s="19">
        <f t="shared" si="6"/>
        <v>58</v>
      </c>
      <c r="L87" s="19">
        <v>0</v>
      </c>
      <c r="M87" s="19">
        <f>-(29)</f>
        <v>-29</v>
      </c>
      <c r="N87" s="19">
        <v>29</v>
      </c>
      <c r="O87" s="19">
        <v>-4</v>
      </c>
      <c r="P87" s="19">
        <v>-1.5</v>
      </c>
      <c r="Q87" s="19">
        <f>-(0.63/2)</f>
        <v>-0.315</v>
      </c>
      <c r="R87" s="20">
        <f t="shared" si="5"/>
        <v>52.185000000000002</v>
      </c>
      <c r="S87" s="35">
        <f t="shared" si="3"/>
        <v>58</v>
      </c>
      <c r="T87" s="36">
        <v>0</v>
      </c>
      <c r="U87" s="36">
        <v>-10</v>
      </c>
      <c r="V87" s="36">
        <v>0</v>
      </c>
      <c r="W87" s="37">
        <v>0</v>
      </c>
      <c r="X87" s="37">
        <v>-0.5</v>
      </c>
      <c r="Y87" s="58">
        <f t="shared" ref="Y87:Y150" si="7">SUM(S87:X87)</f>
        <v>47.5</v>
      </c>
    </row>
    <row r="88" spans="2:25" ht="33" customHeight="1" x14ac:dyDescent="0.25">
      <c r="B88" s="13">
        <v>45972</v>
      </c>
      <c r="C88" s="101"/>
      <c r="D88" s="30"/>
      <c r="E88" s="30" t="s">
        <v>26</v>
      </c>
      <c r="F88" s="39">
        <v>45976</v>
      </c>
      <c r="G88" s="103"/>
      <c r="H88" s="17" t="s">
        <v>36</v>
      </c>
      <c r="I88" s="18">
        <v>39</v>
      </c>
      <c r="J88" s="19">
        <v>2</v>
      </c>
      <c r="K88" s="19">
        <f t="shared" si="6"/>
        <v>78</v>
      </c>
      <c r="L88" s="19">
        <v>0</v>
      </c>
      <c r="M88" s="19">
        <v>-29</v>
      </c>
      <c r="N88" s="19">
        <v>29</v>
      </c>
      <c r="O88" s="19">
        <v>-4</v>
      </c>
      <c r="P88" s="19">
        <v>-1.5</v>
      </c>
      <c r="Q88" s="19">
        <f>-(0.63/2)</f>
        <v>-0.315</v>
      </c>
      <c r="R88" s="20">
        <f t="shared" si="5"/>
        <v>72.185000000000002</v>
      </c>
      <c r="S88" s="35">
        <f t="shared" si="3"/>
        <v>78</v>
      </c>
      <c r="T88" s="36">
        <v>0</v>
      </c>
      <c r="U88" s="36">
        <v>-10</v>
      </c>
      <c r="V88" s="36">
        <v>0</v>
      </c>
      <c r="W88" s="37">
        <v>0</v>
      </c>
      <c r="X88" s="37">
        <v>-0.5</v>
      </c>
      <c r="Y88" s="58">
        <f t="shared" si="7"/>
        <v>67.5</v>
      </c>
    </row>
    <row r="89" spans="2:25" ht="33" customHeight="1" x14ac:dyDescent="0.25">
      <c r="B89" s="13">
        <v>45972</v>
      </c>
      <c r="C89" s="30" t="s">
        <v>205</v>
      </c>
      <c r="D89" s="30"/>
      <c r="E89" s="30" t="s">
        <v>26</v>
      </c>
      <c r="F89" s="39">
        <v>45973</v>
      </c>
      <c r="G89" s="40" t="s">
        <v>194</v>
      </c>
      <c r="H89" s="17" t="s">
        <v>206</v>
      </c>
      <c r="I89" s="18">
        <v>29</v>
      </c>
      <c r="J89" s="19">
        <v>5</v>
      </c>
      <c r="K89" s="19">
        <f t="shared" si="6"/>
        <v>145</v>
      </c>
      <c r="L89" s="19">
        <v>0</v>
      </c>
      <c r="M89" s="19">
        <v>-58</v>
      </c>
      <c r="N89" s="19">
        <v>58</v>
      </c>
      <c r="O89" s="19">
        <v>-8</v>
      </c>
      <c r="P89" s="19">
        <v>-3</v>
      </c>
      <c r="Q89" s="19">
        <v>-0.67</v>
      </c>
      <c r="R89" s="20">
        <f t="shared" si="5"/>
        <v>133.33000000000001</v>
      </c>
      <c r="S89" s="35">
        <f t="shared" si="3"/>
        <v>145</v>
      </c>
      <c r="T89" s="36">
        <v>0</v>
      </c>
      <c r="U89" s="36">
        <v>0</v>
      </c>
      <c r="V89" s="36">
        <v>0</v>
      </c>
      <c r="W89" s="37">
        <v>0</v>
      </c>
      <c r="X89" s="37">
        <v>0</v>
      </c>
      <c r="Y89" s="58">
        <f t="shared" si="7"/>
        <v>145</v>
      </c>
    </row>
    <row r="90" spans="2:25" ht="33" customHeight="1" x14ac:dyDescent="0.25">
      <c r="B90" s="13">
        <v>45972</v>
      </c>
      <c r="C90" s="30" t="s">
        <v>207</v>
      </c>
      <c r="D90" s="30"/>
      <c r="E90" s="30" t="s">
        <v>61</v>
      </c>
      <c r="F90" s="62"/>
      <c r="G90" s="40" t="s">
        <v>208</v>
      </c>
      <c r="H90" s="17" t="s">
        <v>169</v>
      </c>
      <c r="I90" s="18">
        <v>39</v>
      </c>
      <c r="J90" s="19">
        <v>3</v>
      </c>
      <c r="K90" s="19">
        <f t="shared" si="6"/>
        <v>117</v>
      </c>
      <c r="L90" s="19">
        <v>0</v>
      </c>
      <c r="M90" s="19">
        <v>-58</v>
      </c>
      <c r="N90" s="19">
        <v>58</v>
      </c>
      <c r="O90" s="19">
        <v>-7</v>
      </c>
      <c r="P90" s="19">
        <v>-3</v>
      </c>
      <c r="Q90" s="19">
        <v>-0.54</v>
      </c>
      <c r="R90" s="20">
        <f t="shared" si="5"/>
        <v>106.46</v>
      </c>
      <c r="S90" s="35">
        <f t="shared" si="3"/>
        <v>117</v>
      </c>
      <c r="T90" s="36">
        <v>0</v>
      </c>
      <c r="U90" s="36">
        <v>0</v>
      </c>
      <c r="V90" s="36">
        <v>0</v>
      </c>
      <c r="W90" s="37">
        <v>0</v>
      </c>
      <c r="X90" s="37">
        <v>0</v>
      </c>
      <c r="Y90" s="58">
        <f t="shared" si="7"/>
        <v>117</v>
      </c>
    </row>
    <row r="91" spans="2:25" ht="33" customHeight="1" x14ac:dyDescent="0.25">
      <c r="B91" s="13">
        <v>45972</v>
      </c>
      <c r="C91" s="30" t="s">
        <v>209</v>
      </c>
      <c r="D91" s="30"/>
      <c r="E91" s="30" t="s">
        <v>61</v>
      </c>
      <c r="F91" s="39">
        <v>45972</v>
      </c>
      <c r="G91" s="40" t="s">
        <v>210</v>
      </c>
      <c r="H91" s="17" t="s">
        <v>39</v>
      </c>
      <c r="I91" s="18">
        <v>39</v>
      </c>
      <c r="J91" s="19">
        <v>1</v>
      </c>
      <c r="K91" s="19">
        <f t="shared" si="6"/>
        <v>39</v>
      </c>
      <c r="L91" s="19">
        <v>0</v>
      </c>
      <c r="M91" s="19">
        <v>-58</v>
      </c>
      <c r="N91" s="19">
        <v>58</v>
      </c>
      <c r="O91" s="19">
        <v>-2</v>
      </c>
      <c r="P91" s="19">
        <v>-1</v>
      </c>
      <c r="Q91" s="19">
        <v>-0.18</v>
      </c>
      <c r="R91" s="20">
        <f t="shared" si="5"/>
        <v>35.82</v>
      </c>
      <c r="S91" s="35">
        <f t="shared" si="3"/>
        <v>39</v>
      </c>
      <c r="T91" s="36">
        <v>0</v>
      </c>
      <c r="U91" s="36">
        <v>0</v>
      </c>
      <c r="V91" s="36">
        <v>0</v>
      </c>
      <c r="W91" s="37">
        <v>0</v>
      </c>
      <c r="X91" s="37">
        <v>0</v>
      </c>
      <c r="Y91" s="58">
        <f t="shared" si="7"/>
        <v>39</v>
      </c>
    </row>
    <row r="92" spans="2:25" ht="33" customHeight="1" x14ac:dyDescent="0.25">
      <c r="B92" s="13">
        <v>45972</v>
      </c>
      <c r="C92" s="30" t="s">
        <v>211</v>
      </c>
      <c r="D92" s="30"/>
      <c r="E92" s="30" t="s">
        <v>61</v>
      </c>
      <c r="F92" s="39">
        <v>45974</v>
      </c>
      <c r="G92" s="40" t="s">
        <v>212</v>
      </c>
      <c r="H92" s="17" t="s">
        <v>103</v>
      </c>
      <c r="I92" s="18">
        <v>39</v>
      </c>
      <c r="J92" s="19">
        <v>10</v>
      </c>
      <c r="K92" s="19">
        <f t="shared" si="6"/>
        <v>390</v>
      </c>
      <c r="L92" s="19">
        <v>0</v>
      </c>
      <c r="M92" s="19">
        <v>-36</v>
      </c>
      <c r="N92" s="19">
        <v>36</v>
      </c>
      <c r="O92" s="19">
        <v>-22</v>
      </c>
      <c r="P92" s="19">
        <v>-9</v>
      </c>
      <c r="Q92" s="19">
        <v>-1.8</v>
      </c>
      <c r="R92" s="20">
        <f t="shared" si="5"/>
        <v>357.2</v>
      </c>
      <c r="S92" s="35">
        <f t="shared" si="3"/>
        <v>390</v>
      </c>
      <c r="T92" s="36">
        <v>0</v>
      </c>
      <c r="U92" s="36">
        <v>0</v>
      </c>
      <c r="V92" s="36">
        <v>0</v>
      </c>
      <c r="W92" s="37">
        <v>0</v>
      </c>
      <c r="X92" s="37">
        <v>0</v>
      </c>
      <c r="Y92" s="58">
        <f t="shared" si="7"/>
        <v>390</v>
      </c>
    </row>
    <row r="93" spans="2:25" ht="33" customHeight="1" x14ac:dyDescent="0.25">
      <c r="B93" s="13">
        <v>45972</v>
      </c>
      <c r="C93" s="30" t="s">
        <v>213</v>
      </c>
      <c r="D93" s="30"/>
      <c r="E93" s="30" t="s">
        <v>61</v>
      </c>
      <c r="F93" s="39">
        <v>45975</v>
      </c>
      <c r="G93" s="40" t="s">
        <v>214</v>
      </c>
      <c r="H93" s="17" t="s">
        <v>55</v>
      </c>
      <c r="I93" s="18">
        <v>39</v>
      </c>
      <c r="J93" s="19">
        <v>5</v>
      </c>
      <c r="K93" s="19">
        <f t="shared" si="6"/>
        <v>195</v>
      </c>
      <c r="L93" s="19">
        <v>0</v>
      </c>
      <c r="M93" s="19">
        <v>-58</v>
      </c>
      <c r="N93" s="19">
        <v>58</v>
      </c>
      <c r="O93" s="19">
        <v>-11</v>
      </c>
      <c r="P93" s="19">
        <v>-4</v>
      </c>
      <c r="Q93" s="19">
        <v>-0.9</v>
      </c>
      <c r="R93" s="20">
        <f t="shared" si="5"/>
        <v>179.1</v>
      </c>
      <c r="S93" s="35">
        <f t="shared" si="3"/>
        <v>195</v>
      </c>
      <c r="T93" s="36">
        <v>0</v>
      </c>
      <c r="U93" s="36">
        <v>0</v>
      </c>
      <c r="V93" s="36">
        <v>0</v>
      </c>
      <c r="W93" s="37">
        <v>0</v>
      </c>
      <c r="X93" s="37">
        <v>0</v>
      </c>
      <c r="Y93" s="58">
        <f t="shared" si="7"/>
        <v>195</v>
      </c>
    </row>
    <row r="94" spans="2:25" ht="33" customHeight="1" x14ac:dyDescent="0.25">
      <c r="B94" s="13">
        <v>45972</v>
      </c>
      <c r="C94" s="30" t="s">
        <v>215</v>
      </c>
      <c r="D94" s="30"/>
      <c r="E94" s="30" t="s">
        <v>175</v>
      </c>
      <c r="F94" s="62"/>
      <c r="G94" s="40" t="s">
        <v>216</v>
      </c>
      <c r="H94" s="17" t="s">
        <v>103</v>
      </c>
      <c r="I94" s="18">
        <v>39</v>
      </c>
      <c r="J94" s="19">
        <v>5</v>
      </c>
      <c r="K94" s="19">
        <f t="shared" si="6"/>
        <v>195</v>
      </c>
      <c r="L94" s="19">
        <v>0</v>
      </c>
      <c r="M94" s="19">
        <v>-125</v>
      </c>
      <c r="N94" s="19">
        <v>125</v>
      </c>
      <c r="O94" s="19">
        <v>-11</v>
      </c>
      <c r="P94" s="19">
        <v>-4</v>
      </c>
      <c r="Q94" s="19">
        <v>-0.9</v>
      </c>
      <c r="R94" s="20">
        <f t="shared" si="5"/>
        <v>179.1</v>
      </c>
      <c r="S94" s="35">
        <f t="shared" si="3"/>
        <v>195</v>
      </c>
      <c r="T94" s="36">
        <v>0</v>
      </c>
      <c r="U94" s="36">
        <v>0</v>
      </c>
      <c r="V94" s="36">
        <v>0</v>
      </c>
      <c r="W94" s="37">
        <v>0</v>
      </c>
      <c r="X94" s="37">
        <v>0</v>
      </c>
      <c r="Y94" s="58">
        <f t="shared" si="7"/>
        <v>195</v>
      </c>
    </row>
    <row r="95" spans="2:25" ht="33" customHeight="1" x14ac:dyDescent="0.25">
      <c r="B95" s="13">
        <v>45972</v>
      </c>
      <c r="C95" s="30" t="s">
        <v>217</v>
      </c>
      <c r="D95" s="30"/>
      <c r="E95" s="30" t="s">
        <v>175</v>
      </c>
      <c r="F95" s="62"/>
      <c r="G95" s="40" t="s">
        <v>218</v>
      </c>
      <c r="H95" s="17" t="s">
        <v>93</v>
      </c>
      <c r="I95" s="18">
        <v>29</v>
      </c>
      <c r="J95" s="19">
        <v>4</v>
      </c>
      <c r="K95" s="19">
        <f t="shared" si="6"/>
        <v>116</v>
      </c>
      <c r="L95" s="19">
        <v>0</v>
      </c>
      <c r="M95" s="19">
        <v>-125</v>
      </c>
      <c r="N95" s="19">
        <v>125</v>
      </c>
      <c r="O95" s="19">
        <v>-6</v>
      </c>
      <c r="P95" s="19">
        <v>-3</v>
      </c>
      <c r="Q95" s="19">
        <v>-0.54</v>
      </c>
      <c r="R95" s="20">
        <f t="shared" si="5"/>
        <v>106.46</v>
      </c>
      <c r="S95" s="35">
        <f t="shared" si="3"/>
        <v>116</v>
      </c>
      <c r="T95" s="36">
        <v>0</v>
      </c>
      <c r="U95" s="36">
        <v>-6</v>
      </c>
      <c r="V95" s="36">
        <v>0</v>
      </c>
      <c r="W95" s="37">
        <v>0</v>
      </c>
      <c r="X95" s="37">
        <v>0</v>
      </c>
      <c r="Y95" s="58">
        <f t="shared" si="7"/>
        <v>110</v>
      </c>
    </row>
    <row r="96" spans="2:25" ht="33" customHeight="1" x14ac:dyDescent="0.25">
      <c r="B96" s="13">
        <v>45972</v>
      </c>
      <c r="C96" s="30" t="s">
        <v>219</v>
      </c>
      <c r="D96" s="30"/>
      <c r="E96" s="30" t="s">
        <v>61</v>
      </c>
      <c r="F96" s="62"/>
      <c r="G96" s="40" t="s">
        <v>220</v>
      </c>
      <c r="H96" s="17" t="s">
        <v>157</v>
      </c>
      <c r="I96" s="18">
        <v>40</v>
      </c>
      <c r="J96" s="19">
        <v>0.5</v>
      </c>
      <c r="K96" s="19">
        <f t="shared" si="6"/>
        <v>20</v>
      </c>
      <c r="L96" s="19">
        <v>0</v>
      </c>
      <c r="M96" s="19">
        <v>-125</v>
      </c>
      <c r="N96" s="19">
        <v>125</v>
      </c>
      <c r="O96" s="19">
        <v>-1</v>
      </c>
      <c r="P96" s="19">
        <v>0</v>
      </c>
      <c r="Q96" s="19">
        <v>-0.1</v>
      </c>
      <c r="R96" s="20">
        <f t="shared" si="5"/>
        <v>18.899999999999999</v>
      </c>
      <c r="S96" s="35">
        <f t="shared" si="3"/>
        <v>20</v>
      </c>
      <c r="T96" s="36">
        <v>0</v>
      </c>
      <c r="U96" s="36">
        <v>0</v>
      </c>
      <c r="V96" s="36">
        <v>0</v>
      </c>
      <c r="W96" s="37">
        <v>0</v>
      </c>
      <c r="X96" s="37">
        <v>0</v>
      </c>
      <c r="Y96" s="58">
        <f t="shared" si="7"/>
        <v>20</v>
      </c>
    </row>
    <row r="97" spans="2:25" ht="33" customHeight="1" x14ac:dyDescent="0.25">
      <c r="B97" s="13">
        <v>45972</v>
      </c>
      <c r="C97" s="30" t="s">
        <v>221</v>
      </c>
      <c r="D97" s="30"/>
      <c r="E97" s="30" t="s">
        <v>61</v>
      </c>
      <c r="F97" s="62"/>
      <c r="G97" s="40" t="s">
        <v>222</v>
      </c>
      <c r="H97" s="17" t="s">
        <v>63</v>
      </c>
      <c r="I97" s="18">
        <v>39</v>
      </c>
      <c r="J97" s="19">
        <v>3</v>
      </c>
      <c r="K97" s="19">
        <f t="shared" si="6"/>
        <v>117</v>
      </c>
      <c r="L97" s="19">
        <v>8</v>
      </c>
      <c r="M97" s="19">
        <v>-58</v>
      </c>
      <c r="N97" s="19">
        <v>50</v>
      </c>
      <c r="O97" s="19">
        <v>-7</v>
      </c>
      <c r="P97" s="19">
        <v>-3</v>
      </c>
      <c r="Q97" s="19">
        <v>-0.54</v>
      </c>
      <c r="R97" s="20">
        <f t="shared" si="5"/>
        <v>106.46</v>
      </c>
      <c r="S97" s="35">
        <f t="shared" si="3"/>
        <v>117</v>
      </c>
      <c r="T97" s="36">
        <v>8</v>
      </c>
      <c r="U97" s="36">
        <v>-6</v>
      </c>
      <c r="V97" s="36">
        <v>0</v>
      </c>
      <c r="W97" s="37">
        <v>0</v>
      </c>
      <c r="X97" s="37">
        <v>0</v>
      </c>
      <c r="Y97" s="58">
        <f t="shared" si="7"/>
        <v>119</v>
      </c>
    </row>
    <row r="98" spans="2:25" ht="33" customHeight="1" x14ac:dyDescent="0.25">
      <c r="B98" s="13">
        <v>45973</v>
      </c>
      <c r="C98" s="30" t="s">
        <v>223</v>
      </c>
      <c r="D98" s="30"/>
      <c r="E98" s="30" t="s">
        <v>175</v>
      </c>
      <c r="F98" s="62"/>
      <c r="G98" s="40" t="s">
        <v>224</v>
      </c>
      <c r="H98" s="17" t="s">
        <v>28</v>
      </c>
      <c r="I98" s="18">
        <v>39</v>
      </c>
      <c r="J98" s="19">
        <v>5</v>
      </c>
      <c r="K98" s="19">
        <f t="shared" si="6"/>
        <v>195</v>
      </c>
      <c r="L98" s="19">
        <v>0</v>
      </c>
      <c r="M98" s="19">
        <v>-140</v>
      </c>
      <c r="N98" s="19">
        <v>140</v>
      </c>
      <c r="O98" s="19">
        <v>-11</v>
      </c>
      <c r="P98" s="19">
        <v>-4</v>
      </c>
      <c r="Q98" s="19">
        <v>0.9</v>
      </c>
      <c r="R98" s="20">
        <f t="shared" si="5"/>
        <v>180.9</v>
      </c>
      <c r="S98" s="35">
        <f t="shared" si="3"/>
        <v>195</v>
      </c>
      <c r="T98" s="36">
        <v>0</v>
      </c>
      <c r="U98" s="36">
        <v>0</v>
      </c>
      <c r="V98" s="36">
        <v>0</v>
      </c>
      <c r="W98" s="37">
        <v>0</v>
      </c>
      <c r="X98" s="37">
        <v>0</v>
      </c>
      <c r="Y98" s="58">
        <f t="shared" si="7"/>
        <v>195</v>
      </c>
    </row>
    <row r="99" spans="2:25" ht="33" customHeight="1" x14ac:dyDescent="0.25">
      <c r="B99" s="13">
        <v>45973</v>
      </c>
      <c r="C99" s="30" t="s">
        <v>225</v>
      </c>
      <c r="D99" s="30"/>
      <c r="E99" s="30" t="s">
        <v>61</v>
      </c>
      <c r="F99" s="39">
        <v>45975</v>
      </c>
      <c r="G99" s="40" t="s">
        <v>226</v>
      </c>
      <c r="H99" s="17" t="s">
        <v>118</v>
      </c>
      <c r="I99" s="18">
        <v>29</v>
      </c>
      <c r="J99" s="19">
        <v>4</v>
      </c>
      <c r="K99" s="19">
        <f t="shared" si="6"/>
        <v>116</v>
      </c>
      <c r="L99" s="19">
        <v>0</v>
      </c>
      <c r="M99" s="19">
        <v>-36</v>
      </c>
      <c r="N99" s="19">
        <v>36</v>
      </c>
      <c r="O99" s="19">
        <v>-6</v>
      </c>
      <c r="P99" s="19">
        <v>-3</v>
      </c>
      <c r="Q99" s="19">
        <v>-0.54</v>
      </c>
      <c r="R99" s="20">
        <f t="shared" si="5"/>
        <v>106.46</v>
      </c>
      <c r="S99" s="35">
        <f t="shared" si="3"/>
        <v>116</v>
      </c>
      <c r="T99" s="36">
        <v>0</v>
      </c>
      <c r="U99" s="36">
        <v>0</v>
      </c>
      <c r="V99" s="36">
        <v>0</v>
      </c>
      <c r="W99" s="37">
        <v>0</v>
      </c>
      <c r="X99" s="37">
        <v>0</v>
      </c>
      <c r="Y99" s="58">
        <f t="shared" si="7"/>
        <v>116</v>
      </c>
    </row>
    <row r="100" spans="2:25" ht="33" customHeight="1" x14ac:dyDescent="0.25">
      <c r="B100" s="13">
        <v>45973</v>
      </c>
      <c r="C100" s="100" t="s">
        <v>227</v>
      </c>
      <c r="D100" s="30"/>
      <c r="E100" s="30" t="s">
        <v>61</v>
      </c>
      <c r="F100" s="39">
        <v>45975</v>
      </c>
      <c r="G100" s="102" t="s">
        <v>143</v>
      </c>
      <c r="H100" s="17" t="s">
        <v>39</v>
      </c>
      <c r="I100" s="18">
        <v>39</v>
      </c>
      <c r="J100" s="19">
        <v>24</v>
      </c>
      <c r="K100" s="19">
        <f t="shared" si="6"/>
        <v>936</v>
      </c>
      <c r="L100" s="19">
        <f>(55/32)*24</f>
        <v>41.25</v>
      </c>
      <c r="M100" s="19">
        <f>-(3.28125)*24</f>
        <v>-78.75</v>
      </c>
      <c r="N100" s="19">
        <f>(50/32)*24</f>
        <v>37.5</v>
      </c>
      <c r="O100" s="19">
        <f>-(2.125)*24</f>
        <v>-51</v>
      </c>
      <c r="P100" s="19">
        <f>-(0.90625)*24</f>
        <v>-21.75</v>
      </c>
      <c r="Q100" s="19">
        <f>-(5.61/32)*24</f>
        <v>-4.2075000000000005</v>
      </c>
      <c r="R100" s="20">
        <f t="shared" si="5"/>
        <v>859.04250000000002</v>
      </c>
      <c r="S100" s="35">
        <f t="shared" si="3"/>
        <v>936</v>
      </c>
      <c r="T100" s="36">
        <f>(55/32)*24</f>
        <v>41.25</v>
      </c>
      <c r="U100" s="36">
        <f>-(180/32)*24</f>
        <v>-135</v>
      </c>
      <c r="V100" s="36">
        <v>0</v>
      </c>
      <c r="W100" s="37">
        <v>0</v>
      </c>
      <c r="X100" s="37">
        <v>0</v>
      </c>
      <c r="Y100" s="58">
        <f t="shared" si="7"/>
        <v>842.25</v>
      </c>
    </row>
    <row r="101" spans="2:25" ht="33" customHeight="1" x14ac:dyDescent="0.25">
      <c r="B101" s="13">
        <v>45973</v>
      </c>
      <c r="C101" s="110"/>
      <c r="D101" s="30"/>
      <c r="E101" s="30" t="s">
        <v>61</v>
      </c>
      <c r="F101" s="39">
        <v>45975</v>
      </c>
      <c r="G101" s="111"/>
      <c r="H101" s="17" t="s">
        <v>80</v>
      </c>
      <c r="I101" s="18">
        <v>39</v>
      </c>
      <c r="J101" s="19">
        <v>5</v>
      </c>
      <c r="K101" s="19">
        <f t="shared" si="6"/>
        <v>195</v>
      </c>
      <c r="L101" s="19">
        <f>(55/32)*5</f>
        <v>8.59375</v>
      </c>
      <c r="M101" s="19">
        <f>-(3.28125)*5</f>
        <v>-16.40625</v>
      </c>
      <c r="N101" s="19">
        <f>(50/32)*5</f>
        <v>7.8125</v>
      </c>
      <c r="O101" s="19">
        <f>-(2.125)*5</f>
        <v>-10.625</v>
      </c>
      <c r="P101" s="19">
        <f>-(0.90625)*5</f>
        <v>-4.53125</v>
      </c>
      <c r="Q101" s="19">
        <f>-(5.61/32)*5</f>
        <v>-0.87656250000000002</v>
      </c>
      <c r="R101" s="20">
        <f t="shared" si="5"/>
        <v>178.96718749999999</v>
      </c>
      <c r="S101" s="35">
        <f t="shared" si="3"/>
        <v>195</v>
      </c>
      <c r="T101" s="36">
        <f>(55/32)*5</f>
        <v>8.59375</v>
      </c>
      <c r="U101" s="36">
        <f>-(180/32)*5</f>
        <v>-28.125</v>
      </c>
      <c r="V101" s="36">
        <v>0</v>
      </c>
      <c r="W101" s="37">
        <v>0</v>
      </c>
      <c r="X101" s="37">
        <v>0</v>
      </c>
      <c r="Y101" s="58">
        <f t="shared" si="7"/>
        <v>175.46875</v>
      </c>
    </row>
    <row r="102" spans="2:25" ht="33" customHeight="1" x14ac:dyDescent="0.25">
      <c r="B102" s="13">
        <v>45973</v>
      </c>
      <c r="C102" s="110"/>
      <c r="D102" s="30"/>
      <c r="E102" s="30" t="s">
        <v>61</v>
      </c>
      <c r="F102" s="39">
        <v>45975</v>
      </c>
      <c r="G102" s="111"/>
      <c r="H102" s="17" t="s">
        <v>69</v>
      </c>
      <c r="I102" s="18">
        <v>29</v>
      </c>
      <c r="J102" s="19">
        <v>2</v>
      </c>
      <c r="K102" s="19">
        <f t="shared" si="6"/>
        <v>58</v>
      </c>
      <c r="L102" s="19">
        <f>(55/32)*2</f>
        <v>3.4375</v>
      </c>
      <c r="M102" s="19">
        <f>-(3.28125)*2</f>
        <v>-6.5625</v>
      </c>
      <c r="N102" s="19">
        <f>(50/32)*2</f>
        <v>3.125</v>
      </c>
      <c r="O102" s="19">
        <f>-(2.125)*2</f>
        <v>-4.25</v>
      </c>
      <c r="P102" s="19">
        <f>-(0.90625)*2</f>
        <v>-1.8125</v>
      </c>
      <c r="Q102" s="19">
        <f>-(5.61/32)*2</f>
        <v>-0.35062500000000002</v>
      </c>
      <c r="R102" s="20">
        <f t="shared" si="5"/>
        <v>51.586874999999999</v>
      </c>
      <c r="S102" s="35">
        <f t="shared" ref="S102:S153" si="8">K102</f>
        <v>58</v>
      </c>
      <c r="T102" s="36">
        <f>(55/32)*2</f>
        <v>3.4375</v>
      </c>
      <c r="U102" s="36">
        <f>-(180/32)*2</f>
        <v>-11.25</v>
      </c>
      <c r="V102" s="36">
        <v>0</v>
      </c>
      <c r="W102" s="37">
        <v>0</v>
      </c>
      <c r="X102" s="37">
        <v>0</v>
      </c>
      <c r="Y102" s="58">
        <f t="shared" si="7"/>
        <v>50.1875</v>
      </c>
    </row>
    <row r="103" spans="2:25" ht="33" customHeight="1" x14ac:dyDescent="0.25">
      <c r="B103" s="13">
        <v>45973</v>
      </c>
      <c r="C103" s="101"/>
      <c r="D103" s="30"/>
      <c r="E103" s="30" t="s">
        <v>61</v>
      </c>
      <c r="F103" s="39">
        <v>45975</v>
      </c>
      <c r="G103" s="103"/>
      <c r="H103" s="17" t="s">
        <v>151</v>
      </c>
      <c r="I103" s="18">
        <v>29</v>
      </c>
      <c r="J103" s="19">
        <v>1</v>
      </c>
      <c r="K103" s="19">
        <f t="shared" si="6"/>
        <v>29</v>
      </c>
      <c r="L103" s="19">
        <f>(55/32)*1</f>
        <v>1.71875</v>
      </c>
      <c r="M103" s="19">
        <f>-(3.28125)*1</f>
        <v>-3.28125</v>
      </c>
      <c r="N103" s="19">
        <f>(50/32)*1</f>
        <v>1.5625</v>
      </c>
      <c r="O103" s="19">
        <f>-(2.125)*1</f>
        <v>-2.125</v>
      </c>
      <c r="P103" s="19">
        <f>-(0.90625)*1</f>
        <v>-0.90625</v>
      </c>
      <c r="Q103" s="19">
        <f>-(5.61/32)*1</f>
        <v>-0.17531250000000001</v>
      </c>
      <c r="R103" s="20">
        <f t="shared" si="5"/>
        <v>25.7934375</v>
      </c>
      <c r="S103" s="35">
        <f t="shared" si="8"/>
        <v>29</v>
      </c>
      <c r="T103" s="36">
        <f>(55/32)*1</f>
        <v>1.71875</v>
      </c>
      <c r="U103" s="36">
        <f>-(180/32)*1</f>
        <v>-5.625</v>
      </c>
      <c r="V103" s="36">
        <v>0</v>
      </c>
      <c r="W103" s="37">
        <v>0</v>
      </c>
      <c r="X103" s="37">
        <v>0</v>
      </c>
      <c r="Y103" s="58">
        <f t="shared" si="7"/>
        <v>25.09375</v>
      </c>
    </row>
    <row r="104" spans="2:25" ht="33" customHeight="1" x14ac:dyDescent="0.25">
      <c r="B104" s="13">
        <v>45973</v>
      </c>
      <c r="C104" s="30" t="s">
        <v>228</v>
      </c>
      <c r="D104" s="30"/>
      <c r="E104" s="30" t="s">
        <v>175</v>
      </c>
      <c r="F104" s="62"/>
      <c r="G104" s="40" t="s">
        <v>229</v>
      </c>
      <c r="H104" s="17" t="s">
        <v>103</v>
      </c>
      <c r="I104" s="18">
        <v>39</v>
      </c>
      <c r="J104" s="19">
        <v>2</v>
      </c>
      <c r="K104" s="19">
        <f t="shared" si="6"/>
        <v>78</v>
      </c>
      <c r="L104" s="19">
        <v>0</v>
      </c>
      <c r="M104" s="19">
        <v>-125</v>
      </c>
      <c r="N104" s="19">
        <v>125</v>
      </c>
      <c r="O104" s="19">
        <v>-4</v>
      </c>
      <c r="P104" s="19">
        <v>-2</v>
      </c>
      <c r="Q104" s="19">
        <v>-0.36</v>
      </c>
      <c r="R104" s="20">
        <f t="shared" si="5"/>
        <v>71.64</v>
      </c>
      <c r="S104" s="35">
        <f t="shared" si="8"/>
        <v>78</v>
      </c>
      <c r="T104" s="36">
        <v>0</v>
      </c>
      <c r="U104" s="36">
        <v>0</v>
      </c>
      <c r="V104" s="36">
        <v>0</v>
      </c>
      <c r="W104" s="37">
        <v>0</v>
      </c>
      <c r="X104" s="37">
        <v>0</v>
      </c>
      <c r="Y104" s="58">
        <f t="shared" si="7"/>
        <v>78</v>
      </c>
    </row>
    <row r="105" spans="2:25" ht="33" customHeight="1" x14ac:dyDescent="0.25">
      <c r="B105" s="13">
        <v>45973</v>
      </c>
      <c r="C105" s="30" t="s">
        <v>230</v>
      </c>
      <c r="D105" s="30"/>
      <c r="E105" s="63" t="s">
        <v>231</v>
      </c>
      <c r="F105" s="62"/>
      <c r="G105" s="40" t="s">
        <v>232</v>
      </c>
      <c r="H105" s="17" t="s">
        <v>89</v>
      </c>
      <c r="I105" s="18"/>
      <c r="J105" s="19">
        <v>10</v>
      </c>
      <c r="K105" s="19">
        <f t="shared" si="6"/>
        <v>0</v>
      </c>
      <c r="L105" s="19">
        <v>0</v>
      </c>
      <c r="M105" s="19"/>
      <c r="N105" s="19"/>
      <c r="O105" s="19"/>
      <c r="P105" s="19"/>
      <c r="Q105" s="19"/>
      <c r="R105" s="20">
        <f t="shared" si="5"/>
        <v>0</v>
      </c>
      <c r="S105" s="35">
        <f t="shared" si="8"/>
        <v>0</v>
      </c>
      <c r="T105" s="36">
        <v>0</v>
      </c>
      <c r="U105" s="36">
        <v>-15</v>
      </c>
      <c r="V105" s="36">
        <v>0</v>
      </c>
      <c r="W105" s="37">
        <v>0</v>
      </c>
      <c r="X105" s="37">
        <v>0</v>
      </c>
      <c r="Y105" s="58">
        <f t="shared" si="7"/>
        <v>-15</v>
      </c>
    </row>
    <row r="106" spans="2:25" ht="33" customHeight="1" x14ac:dyDescent="0.25">
      <c r="B106" s="13">
        <v>45974</v>
      </c>
      <c r="C106" s="30" t="s">
        <v>233</v>
      </c>
      <c r="D106" s="30"/>
      <c r="E106" s="63" t="s">
        <v>231</v>
      </c>
      <c r="F106" s="62"/>
      <c r="G106" s="40" t="s">
        <v>234</v>
      </c>
      <c r="H106" s="17" t="s">
        <v>100</v>
      </c>
      <c r="I106" s="18"/>
      <c r="J106" s="19">
        <v>4</v>
      </c>
      <c r="K106" s="19">
        <f t="shared" si="6"/>
        <v>0</v>
      </c>
      <c r="L106" s="19">
        <v>0</v>
      </c>
      <c r="M106" s="19"/>
      <c r="N106" s="19"/>
      <c r="O106" s="19"/>
      <c r="P106" s="19"/>
      <c r="Q106" s="19"/>
      <c r="R106" s="20">
        <f t="shared" si="5"/>
        <v>0</v>
      </c>
      <c r="S106" s="35">
        <f t="shared" si="8"/>
        <v>0</v>
      </c>
      <c r="T106" s="36">
        <v>0</v>
      </c>
      <c r="U106" s="36">
        <v>-6</v>
      </c>
      <c r="V106" s="36">
        <v>0</v>
      </c>
      <c r="W106" s="37">
        <v>0</v>
      </c>
      <c r="X106" s="37">
        <v>0</v>
      </c>
      <c r="Y106" s="58">
        <f t="shared" si="7"/>
        <v>-6</v>
      </c>
    </row>
    <row r="107" spans="2:25" ht="33" customHeight="1" x14ac:dyDescent="0.25">
      <c r="B107" s="13">
        <v>45974</v>
      </c>
      <c r="C107" s="30" t="s">
        <v>235</v>
      </c>
      <c r="D107" s="30"/>
      <c r="E107" s="30" t="s">
        <v>61</v>
      </c>
      <c r="F107" s="39">
        <v>45976</v>
      </c>
      <c r="G107" s="40" t="s">
        <v>214</v>
      </c>
      <c r="H107" s="17" t="s">
        <v>55</v>
      </c>
      <c r="I107" s="18">
        <v>39</v>
      </c>
      <c r="J107" s="19">
        <v>5</v>
      </c>
      <c r="K107" s="19">
        <f t="shared" si="6"/>
        <v>195</v>
      </c>
      <c r="L107" s="19">
        <v>8</v>
      </c>
      <c r="M107" s="19">
        <v>-58</v>
      </c>
      <c r="N107" s="19">
        <v>50</v>
      </c>
      <c r="O107" s="19">
        <v>-11</v>
      </c>
      <c r="P107" s="19">
        <v>-5</v>
      </c>
      <c r="Q107" s="19">
        <v>-0.9</v>
      </c>
      <c r="R107" s="20">
        <f t="shared" si="5"/>
        <v>178.1</v>
      </c>
      <c r="S107" s="35">
        <f t="shared" si="8"/>
        <v>195</v>
      </c>
      <c r="T107" s="36">
        <v>8</v>
      </c>
      <c r="U107" s="36">
        <v>0</v>
      </c>
      <c r="V107" s="36">
        <v>0</v>
      </c>
      <c r="W107" s="37">
        <v>0</v>
      </c>
      <c r="X107" s="37">
        <v>0</v>
      </c>
      <c r="Y107" s="58">
        <f t="shared" si="7"/>
        <v>203</v>
      </c>
    </row>
    <row r="108" spans="2:25" ht="33" customHeight="1" x14ac:dyDescent="0.25">
      <c r="B108" s="13">
        <v>45974</v>
      </c>
      <c r="C108" s="30" t="s">
        <v>236</v>
      </c>
      <c r="D108" s="30"/>
      <c r="E108" s="30" t="s">
        <v>175</v>
      </c>
      <c r="F108" s="62"/>
      <c r="G108" s="40" t="s">
        <v>237</v>
      </c>
      <c r="H108" s="17" t="s">
        <v>80</v>
      </c>
      <c r="I108" s="18">
        <v>40</v>
      </c>
      <c r="J108" s="19">
        <v>1.5</v>
      </c>
      <c r="K108" s="19">
        <f t="shared" si="6"/>
        <v>60</v>
      </c>
      <c r="L108" s="19">
        <v>33</v>
      </c>
      <c r="M108" s="19">
        <v>-58</v>
      </c>
      <c r="N108" s="19">
        <v>25</v>
      </c>
      <c r="O108" s="19">
        <v>-3</v>
      </c>
      <c r="P108" s="19">
        <v>-2</v>
      </c>
      <c r="Q108" s="19">
        <v>-0.28000000000000003</v>
      </c>
      <c r="R108" s="20">
        <f t="shared" si="5"/>
        <v>54.72</v>
      </c>
      <c r="S108" s="35">
        <f t="shared" si="8"/>
        <v>60</v>
      </c>
      <c r="T108" s="36">
        <v>33</v>
      </c>
      <c r="U108" s="36">
        <v>0</v>
      </c>
      <c r="V108" s="36">
        <v>0</v>
      </c>
      <c r="W108" s="37">
        <v>0</v>
      </c>
      <c r="X108" s="37">
        <v>0</v>
      </c>
      <c r="Y108" s="58">
        <f t="shared" si="7"/>
        <v>93</v>
      </c>
    </row>
    <row r="109" spans="2:25" ht="33" customHeight="1" x14ac:dyDescent="0.25">
      <c r="B109" s="13">
        <v>45974</v>
      </c>
      <c r="C109" s="30" t="s">
        <v>238</v>
      </c>
      <c r="D109" s="30"/>
      <c r="E109" s="30" t="s">
        <v>175</v>
      </c>
      <c r="F109" s="62"/>
      <c r="G109" s="40" t="s">
        <v>239</v>
      </c>
      <c r="H109" s="17" t="s">
        <v>80</v>
      </c>
      <c r="I109" s="18">
        <v>40</v>
      </c>
      <c r="J109" s="19">
        <v>7.5</v>
      </c>
      <c r="K109" s="19">
        <f t="shared" si="6"/>
        <v>300</v>
      </c>
      <c r="L109" s="19">
        <v>0</v>
      </c>
      <c r="M109" s="19">
        <v>-146</v>
      </c>
      <c r="N109" s="19">
        <v>146</v>
      </c>
      <c r="O109" s="19">
        <v>-17</v>
      </c>
      <c r="P109" s="19">
        <v>-7</v>
      </c>
      <c r="Q109" s="19">
        <v>-1.38</v>
      </c>
      <c r="R109" s="20">
        <f t="shared" si="5"/>
        <v>274.62</v>
      </c>
      <c r="S109" s="35">
        <f t="shared" si="8"/>
        <v>300</v>
      </c>
      <c r="T109" s="36">
        <v>0</v>
      </c>
      <c r="U109" s="36">
        <v>0</v>
      </c>
      <c r="V109" s="36">
        <v>0</v>
      </c>
      <c r="W109" s="37">
        <v>0</v>
      </c>
      <c r="X109" s="37">
        <v>0</v>
      </c>
      <c r="Y109" s="58">
        <f t="shared" si="7"/>
        <v>300</v>
      </c>
    </row>
    <row r="110" spans="2:25" ht="33" customHeight="1" x14ac:dyDescent="0.25">
      <c r="B110" s="13">
        <v>45974</v>
      </c>
      <c r="C110" s="30" t="s">
        <v>240</v>
      </c>
      <c r="D110" s="30"/>
      <c r="E110" s="30" t="s">
        <v>175</v>
      </c>
      <c r="F110" s="62"/>
      <c r="G110" s="40" t="s">
        <v>241</v>
      </c>
      <c r="H110" s="17" t="s">
        <v>206</v>
      </c>
      <c r="I110" s="18">
        <v>29</v>
      </c>
      <c r="J110" s="19">
        <v>3</v>
      </c>
      <c r="K110" s="19">
        <f t="shared" si="6"/>
        <v>87</v>
      </c>
      <c r="L110" s="19">
        <v>90</v>
      </c>
      <c r="M110" s="19">
        <v>-125</v>
      </c>
      <c r="N110" s="19">
        <v>35</v>
      </c>
      <c r="O110" s="19">
        <v>-5</v>
      </c>
      <c r="P110" s="19">
        <v>-4</v>
      </c>
      <c r="Q110" s="19">
        <v>-0.39</v>
      </c>
      <c r="R110" s="20">
        <f t="shared" si="5"/>
        <v>77.61</v>
      </c>
      <c r="S110" s="35">
        <f t="shared" si="8"/>
        <v>87</v>
      </c>
      <c r="T110" s="36">
        <v>90</v>
      </c>
      <c r="U110" s="36">
        <v>-5</v>
      </c>
      <c r="V110" s="36">
        <v>0</v>
      </c>
      <c r="W110" s="37">
        <v>0</v>
      </c>
      <c r="X110" s="37">
        <v>0</v>
      </c>
      <c r="Y110" s="58">
        <f t="shared" si="7"/>
        <v>172</v>
      </c>
    </row>
    <row r="111" spans="2:25" ht="33" customHeight="1" x14ac:dyDescent="0.25">
      <c r="B111" s="13">
        <v>45975</v>
      </c>
      <c r="C111" s="30" t="s">
        <v>242</v>
      </c>
      <c r="D111" s="30"/>
      <c r="E111" s="30" t="s">
        <v>61</v>
      </c>
      <c r="F111" s="39">
        <v>45976</v>
      </c>
      <c r="G111" s="40" t="s">
        <v>243</v>
      </c>
      <c r="H111" s="17" t="s">
        <v>51</v>
      </c>
      <c r="I111" s="18">
        <v>39</v>
      </c>
      <c r="J111" s="19">
        <v>10</v>
      </c>
      <c r="K111" s="19">
        <f t="shared" si="6"/>
        <v>390</v>
      </c>
      <c r="L111" s="19">
        <v>0</v>
      </c>
      <c r="M111" s="19">
        <v>-36</v>
      </c>
      <c r="N111" s="19">
        <v>36</v>
      </c>
      <c r="O111" s="19">
        <v>-22</v>
      </c>
      <c r="P111" s="19">
        <v>-9</v>
      </c>
      <c r="Q111" s="19">
        <v>-1.8</v>
      </c>
      <c r="R111" s="20">
        <f t="shared" si="5"/>
        <v>357.2</v>
      </c>
      <c r="S111" s="35">
        <f t="shared" si="8"/>
        <v>390</v>
      </c>
      <c r="T111" s="36">
        <v>0</v>
      </c>
      <c r="U111" s="36">
        <v>0</v>
      </c>
      <c r="V111" s="36">
        <v>0</v>
      </c>
      <c r="W111" s="37">
        <v>0</v>
      </c>
      <c r="X111" s="37">
        <v>0</v>
      </c>
      <c r="Y111" s="58">
        <f t="shared" si="7"/>
        <v>390</v>
      </c>
    </row>
    <row r="112" spans="2:25" ht="33" customHeight="1" x14ac:dyDescent="0.25">
      <c r="B112" s="13">
        <v>45975</v>
      </c>
      <c r="C112" s="30" t="s">
        <v>244</v>
      </c>
      <c r="D112" s="30"/>
      <c r="E112" s="30" t="s">
        <v>175</v>
      </c>
      <c r="F112" s="62"/>
      <c r="G112" s="40" t="s">
        <v>245</v>
      </c>
      <c r="H112" s="17" t="s">
        <v>39</v>
      </c>
      <c r="I112" s="18">
        <v>39</v>
      </c>
      <c r="J112" s="19">
        <v>1</v>
      </c>
      <c r="K112" s="19">
        <f t="shared" si="6"/>
        <v>39</v>
      </c>
      <c r="L112" s="19">
        <v>0</v>
      </c>
      <c r="M112" s="19">
        <v>-125</v>
      </c>
      <c r="N112" s="19">
        <v>125</v>
      </c>
      <c r="O112" s="19">
        <v>-2</v>
      </c>
      <c r="P112" s="19">
        <v>-1</v>
      </c>
      <c r="Q112" s="19">
        <v>-0.18</v>
      </c>
      <c r="R112" s="20">
        <f t="shared" si="5"/>
        <v>35.82</v>
      </c>
      <c r="S112" s="35">
        <f t="shared" si="8"/>
        <v>39</v>
      </c>
      <c r="T112" s="36">
        <v>0</v>
      </c>
      <c r="U112" s="36">
        <v>0</v>
      </c>
      <c r="V112" s="36">
        <v>0</v>
      </c>
      <c r="W112" s="37">
        <v>0</v>
      </c>
      <c r="X112" s="37">
        <v>0</v>
      </c>
      <c r="Y112" s="58">
        <f t="shared" si="7"/>
        <v>39</v>
      </c>
    </row>
    <row r="113" spans="2:25" ht="33" customHeight="1" x14ac:dyDescent="0.25">
      <c r="B113" s="64">
        <v>45975</v>
      </c>
      <c r="C113" s="100" t="s">
        <v>246</v>
      </c>
      <c r="D113" s="30"/>
      <c r="E113" s="30" t="s">
        <v>175</v>
      </c>
      <c r="F113" s="62"/>
      <c r="G113" s="102" t="s">
        <v>234</v>
      </c>
      <c r="H113" s="17" t="s">
        <v>89</v>
      </c>
      <c r="I113" s="18">
        <v>29</v>
      </c>
      <c r="J113" s="19">
        <v>10</v>
      </c>
      <c r="K113" s="19">
        <f t="shared" si="6"/>
        <v>290</v>
      </c>
      <c r="L113" s="19">
        <v>0</v>
      </c>
      <c r="M113" s="19">
        <v>0</v>
      </c>
      <c r="N113" s="19">
        <v>0</v>
      </c>
      <c r="O113" s="19">
        <f>-(23/14)*10</f>
        <v>-16.428571428571427</v>
      </c>
      <c r="P113" s="19">
        <f>-(9/14)*10</f>
        <v>-6.4285714285714288</v>
      </c>
      <c r="Q113" s="19">
        <f>-(1.87/14)*10</f>
        <v>-1.3357142857142859</v>
      </c>
      <c r="R113" s="20">
        <f t="shared" si="5"/>
        <v>265.80714285714282</v>
      </c>
      <c r="S113" s="35">
        <f t="shared" si="8"/>
        <v>290</v>
      </c>
      <c r="T113" s="36">
        <v>0</v>
      </c>
      <c r="U113" s="36">
        <f>-(61/14)*10</f>
        <v>-43.571428571428569</v>
      </c>
      <c r="V113" s="36">
        <v>0</v>
      </c>
      <c r="W113" s="37">
        <v>0</v>
      </c>
      <c r="X113" s="37">
        <v>0</v>
      </c>
      <c r="Y113" s="58">
        <f t="shared" si="7"/>
        <v>246.42857142857144</v>
      </c>
    </row>
    <row r="114" spans="2:25" ht="33" customHeight="1" x14ac:dyDescent="0.25">
      <c r="B114" s="64">
        <v>45975</v>
      </c>
      <c r="C114" s="106"/>
      <c r="D114" s="30"/>
      <c r="E114" s="30" t="s">
        <v>175</v>
      </c>
      <c r="F114" s="62"/>
      <c r="G114" s="103"/>
      <c r="H114" s="17" t="s">
        <v>100</v>
      </c>
      <c r="I114" s="18">
        <v>29</v>
      </c>
      <c r="J114" s="19">
        <v>4</v>
      </c>
      <c r="K114" s="19">
        <f t="shared" si="6"/>
        <v>116</v>
      </c>
      <c r="L114" s="19">
        <v>0</v>
      </c>
      <c r="M114" s="19">
        <v>0</v>
      </c>
      <c r="N114" s="19">
        <v>0</v>
      </c>
      <c r="O114" s="19">
        <f>-(23/14)*4</f>
        <v>-6.5714285714285712</v>
      </c>
      <c r="P114" s="19">
        <f>-(9/14)*4</f>
        <v>-2.5714285714285716</v>
      </c>
      <c r="Q114" s="19">
        <f>-(1.87/14)*4</f>
        <v>-0.53428571428571436</v>
      </c>
      <c r="R114" s="20">
        <f t="shared" si="5"/>
        <v>106.32285714285715</v>
      </c>
      <c r="S114" s="35">
        <f t="shared" si="8"/>
        <v>116</v>
      </c>
      <c r="T114" s="36">
        <v>0</v>
      </c>
      <c r="U114" s="36">
        <f>-(61/14)*4</f>
        <v>-17.428571428571427</v>
      </c>
      <c r="V114" s="36">
        <v>0</v>
      </c>
      <c r="W114" s="37">
        <v>0</v>
      </c>
      <c r="X114" s="37">
        <v>0</v>
      </c>
      <c r="Y114" s="58">
        <f t="shared" si="7"/>
        <v>98.571428571428569</v>
      </c>
    </row>
    <row r="115" spans="2:25" ht="33" customHeight="1" x14ac:dyDescent="0.25">
      <c r="B115" s="13">
        <v>45975</v>
      </c>
      <c r="C115" s="30" t="s">
        <v>247</v>
      </c>
      <c r="D115" s="30"/>
      <c r="E115" s="30" t="s">
        <v>175</v>
      </c>
      <c r="F115" s="62"/>
      <c r="G115" s="40" t="s">
        <v>248</v>
      </c>
      <c r="H115" s="17" t="s">
        <v>39</v>
      </c>
      <c r="I115" s="18">
        <v>39</v>
      </c>
      <c r="J115" s="19">
        <v>1</v>
      </c>
      <c r="K115" s="19">
        <f t="shared" si="6"/>
        <v>39</v>
      </c>
      <c r="L115" s="19">
        <v>0</v>
      </c>
      <c r="M115" s="19">
        <v>0</v>
      </c>
      <c r="N115" s="19">
        <v>0</v>
      </c>
      <c r="O115" s="19">
        <v>-2</v>
      </c>
      <c r="P115" s="19">
        <v>-1</v>
      </c>
      <c r="Q115" s="19">
        <v>-0.18</v>
      </c>
      <c r="R115" s="20">
        <f t="shared" si="5"/>
        <v>35.82</v>
      </c>
      <c r="S115" s="35">
        <f t="shared" si="8"/>
        <v>39</v>
      </c>
      <c r="T115" s="36">
        <v>0</v>
      </c>
      <c r="U115" s="36">
        <v>0</v>
      </c>
      <c r="V115" s="36">
        <v>0</v>
      </c>
      <c r="W115" s="37">
        <v>0</v>
      </c>
      <c r="X115" s="37">
        <v>0</v>
      </c>
      <c r="Y115" s="58">
        <f t="shared" si="7"/>
        <v>39</v>
      </c>
    </row>
    <row r="116" spans="2:25" ht="33" customHeight="1" x14ac:dyDescent="0.25">
      <c r="B116" s="13">
        <v>45975</v>
      </c>
      <c r="C116" s="30" t="s">
        <v>249</v>
      </c>
      <c r="D116" s="30"/>
      <c r="E116" s="30" t="s">
        <v>61</v>
      </c>
      <c r="F116" s="62"/>
      <c r="G116" s="40" t="s">
        <v>250</v>
      </c>
      <c r="H116" s="17" t="s">
        <v>93</v>
      </c>
      <c r="I116" s="18">
        <v>29</v>
      </c>
      <c r="J116" s="19">
        <v>2</v>
      </c>
      <c r="K116" s="19">
        <f t="shared" si="6"/>
        <v>58</v>
      </c>
      <c r="L116" s="19">
        <v>0</v>
      </c>
      <c r="M116" s="19">
        <v>0</v>
      </c>
      <c r="N116" s="19">
        <v>0</v>
      </c>
      <c r="O116" s="19">
        <v>-2</v>
      </c>
      <c r="P116" s="19">
        <v>-1</v>
      </c>
      <c r="Q116" s="19">
        <v>-0.27</v>
      </c>
      <c r="R116" s="20">
        <f t="shared" si="5"/>
        <v>54.73</v>
      </c>
      <c r="S116" s="35">
        <f t="shared" si="8"/>
        <v>58</v>
      </c>
      <c r="T116" s="36">
        <v>0</v>
      </c>
      <c r="U116" s="36">
        <v>-3</v>
      </c>
      <c r="V116" s="36">
        <v>0</v>
      </c>
      <c r="W116" s="37">
        <v>0</v>
      </c>
      <c r="X116" s="37">
        <v>0</v>
      </c>
      <c r="Y116" s="58">
        <f t="shared" si="7"/>
        <v>55</v>
      </c>
    </row>
    <row r="117" spans="2:25" ht="33" customHeight="1" x14ac:dyDescent="0.25">
      <c r="B117" s="13">
        <v>45975</v>
      </c>
      <c r="C117" s="30" t="s">
        <v>251</v>
      </c>
      <c r="D117" s="30"/>
      <c r="E117" s="30" t="s">
        <v>61</v>
      </c>
      <c r="F117" s="62"/>
      <c r="G117" s="40" t="s">
        <v>252</v>
      </c>
      <c r="H117" s="17" t="s">
        <v>55</v>
      </c>
      <c r="I117" s="18">
        <v>39</v>
      </c>
      <c r="J117" s="19">
        <v>5</v>
      </c>
      <c r="K117" s="19">
        <f t="shared" si="6"/>
        <v>195</v>
      </c>
      <c r="L117" s="19">
        <v>0</v>
      </c>
      <c r="M117" s="19">
        <v>0</v>
      </c>
      <c r="N117" s="19">
        <v>0</v>
      </c>
      <c r="O117" s="19">
        <v>-11</v>
      </c>
      <c r="P117" s="19">
        <v>-4</v>
      </c>
      <c r="Q117" s="19">
        <v>-0.9</v>
      </c>
      <c r="R117" s="20">
        <f t="shared" si="5"/>
        <v>179.1</v>
      </c>
      <c r="S117" s="35">
        <f t="shared" si="8"/>
        <v>195</v>
      </c>
      <c r="T117" s="36">
        <v>0</v>
      </c>
      <c r="U117" s="36">
        <v>-29</v>
      </c>
      <c r="V117" s="36">
        <v>0</v>
      </c>
      <c r="W117" s="37">
        <v>0</v>
      </c>
      <c r="X117" s="37">
        <v>0</v>
      </c>
      <c r="Y117" s="58">
        <f t="shared" si="7"/>
        <v>166</v>
      </c>
    </row>
    <row r="118" spans="2:25" ht="33" customHeight="1" x14ac:dyDescent="0.25">
      <c r="B118" s="13">
        <v>45975</v>
      </c>
      <c r="C118" s="30" t="s">
        <v>253</v>
      </c>
      <c r="D118" s="30"/>
      <c r="E118" s="30" t="s">
        <v>61</v>
      </c>
      <c r="F118" s="62"/>
      <c r="G118" s="40" t="s">
        <v>254</v>
      </c>
      <c r="H118" s="17" t="s">
        <v>42</v>
      </c>
      <c r="I118" s="18">
        <v>29</v>
      </c>
      <c r="J118" s="19">
        <v>5</v>
      </c>
      <c r="K118" s="19">
        <f t="shared" si="6"/>
        <v>145</v>
      </c>
      <c r="L118" s="19">
        <v>8</v>
      </c>
      <c r="M118" s="19">
        <v>-58</v>
      </c>
      <c r="N118" s="19">
        <v>50</v>
      </c>
      <c r="O118" s="19">
        <v>-8</v>
      </c>
      <c r="P118" s="19">
        <v>-3</v>
      </c>
      <c r="Q118" s="19">
        <v>-0.67</v>
      </c>
      <c r="R118" s="20">
        <f t="shared" si="5"/>
        <v>133.33000000000001</v>
      </c>
      <c r="S118" s="35">
        <f t="shared" si="8"/>
        <v>145</v>
      </c>
      <c r="T118" s="36">
        <v>8</v>
      </c>
      <c r="U118" s="36">
        <v>0</v>
      </c>
      <c r="V118" s="36">
        <v>0</v>
      </c>
      <c r="W118" s="37">
        <v>0</v>
      </c>
      <c r="X118" s="37">
        <v>0</v>
      </c>
      <c r="Y118" s="58">
        <f t="shared" si="7"/>
        <v>153</v>
      </c>
    </row>
    <row r="119" spans="2:25" ht="33" customHeight="1" x14ac:dyDescent="0.25">
      <c r="B119" s="13">
        <v>45975</v>
      </c>
      <c r="C119" s="30" t="s">
        <v>255</v>
      </c>
      <c r="D119" s="30"/>
      <c r="E119" s="30" t="s">
        <v>175</v>
      </c>
      <c r="F119" s="62"/>
      <c r="G119" s="40" t="s">
        <v>245</v>
      </c>
      <c r="H119" s="17" t="s">
        <v>39</v>
      </c>
      <c r="I119" s="18">
        <v>38</v>
      </c>
      <c r="J119" s="19">
        <v>1</v>
      </c>
      <c r="K119" s="19">
        <f t="shared" si="6"/>
        <v>38</v>
      </c>
      <c r="L119" s="19">
        <v>0</v>
      </c>
      <c r="M119" s="19">
        <v>0</v>
      </c>
      <c r="N119" s="19">
        <v>0</v>
      </c>
      <c r="O119" s="19">
        <v>-2</v>
      </c>
      <c r="P119" s="19">
        <v>-1</v>
      </c>
      <c r="Q119" s="19">
        <v>-0.18</v>
      </c>
      <c r="R119" s="20">
        <f t="shared" si="5"/>
        <v>34.82</v>
      </c>
      <c r="S119" s="35">
        <f t="shared" si="8"/>
        <v>38</v>
      </c>
      <c r="T119" s="36">
        <v>0</v>
      </c>
      <c r="U119" s="36">
        <v>0</v>
      </c>
      <c r="V119" s="36">
        <v>0</v>
      </c>
      <c r="W119" s="37">
        <v>0</v>
      </c>
      <c r="X119" s="37">
        <v>0</v>
      </c>
      <c r="Y119" s="58">
        <f t="shared" si="7"/>
        <v>38</v>
      </c>
    </row>
    <row r="120" spans="2:25" ht="33" customHeight="1" x14ac:dyDescent="0.25">
      <c r="B120" s="44">
        <v>45975</v>
      </c>
      <c r="C120" s="107" t="s">
        <v>256</v>
      </c>
      <c r="D120" s="65"/>
      <c r="E120" s="65" t="s">
        <v>257</v>
      </c>
      <c r="F120" s="66"/>
      <c r="G120" s="67"/>
      <c r="H120" s="49" t="s">
        <v>42</v>
      </c>
      <c r="I120" s="50">
        <v>29</v>
      </c>
      <c r="J120" s="51">
        <v>1</v>
      </c>
      <c r="K120" s="51">
        <f t="shared" si="6"/>
        <v>29</v>
      </c>
      <c r="L120" s="51">
        <v>0</v>
      </c>
      <c r="M120" s="51">
        <v>0</v>
      </c>
      <c r="N120" s="51">
        <v>0</v>
      </c>
      <c r="O120" s="51">
        <f>-(21.81/5)*1</f>
        <v>-4.3620000000000001</v>
      </c>
      <c r="P120" s="51">
        <v>0</v>
      </c>
      <c r="Q120" s="51">
        <v>0</v>
      </c>
      <c r="R120" s="52">
        <f t="shared" si="5"/>
        <v>24.637999999999998</v>
      </c>
      <c r="S120" s="53">
        <f t="shared" si="8"/>
        <v>29</v>
      </c>
      <c r="T120" s="54"/>
      <c r="U120" s="54"/>
      <c r="V120" s="54"/>
      <c r="W120" s="55"/>
      <c r="X120" s="55"/>
      <c r="Y120" s="68"/>
    </row>
    <row r="121" spans="2:25" ht="33" customHeight="1" x14ac:dyDescent="0.25">
      <c r="B121" s="44">
        <v>45975</v>
      </c>
      <c r="C121" s="108"/>
      <c r="D121" s="65"/>
      <c r="E121" s="65" t="s">
        <v>257</v>
      </c>
      <c r="F121" s="66"/>
      <c r="G121" s="67"/>
      <c r="H121" s="49" t="s">
        <v>69</v>
      </c>
      <c r="I121" s="50">
        <v>29</v>
      </c>
      <c r="J121" s="51">
        <v>1</v>
      </c>
      <c r="K121" s="51">
        <f t="shared" si="6"/>
        <v>29</v>
      </c>
      <c r="L121" s="51">
        <v>0</v>
      </c>
      <c r="M121" s="51">
        <v>0</v>
      </c>
      <c r="N121" s="51">
        <v>0</v>
      </c>
      <c r="O121" s="51">
        <f t="shared" ref="O121:O124" si="9">-(21.81/5)*1</f>
        <v>-4.3620000000000001</v>
      </c>
      <c r="P121" s="51">
        <v>0</v>
      </c>
      <c r="Q121" s="51">
        <v>0</v>
      </c>
      <c r="R121" s="52">
        <f t="shared" si="5"/>
        <v>24.637999999999998</v>
      </c>
      <c r="S121" s="53">
        <f t="shared" si="8"/>
        <v>29</v>
      </c>
      <c r="T121" s="54"/>
      <c r="U121" s="54"/>
      <c r="V121" s="54"/>
      <c r="W121" s="55"/>
      <c r="X121" s="55"/>
      <c r="Y121" s="68"/>
    </row>
    <row r="122" spans="2:25" ht="33" customHeight="1" x14ac:dyDescent="0.25">
      <c r="B122" s="44">
        <v>45975</v>
      </c>
      <c r="C122" s="108"/>
      <c r="D122" s="65"/>
      <c r="E122" s="65" t="s">
        <v>257</v>
      </c>
      <c r="F122" s="66"/>
      <c r="G122" s="67"/>
      <c r="H122" s="49" t="s">
        <v>66</v>
      </c>
      <c r="I122" s="50">
        <v>29</v>
      </c>
      <c r="J122" s="51">
        <v>1</v>
      </c>
      <c r="K122" s="51">
        <f t="shared" si="6"/>
        <v>29</v>
      </c>
      <c r="L122" s="51">
        <v>0</v>
      </c>
      <c r="M122" s="51">
        <v>0</v>
      </c>
      <c r="N122" s="51">
        <v>0</v>
      </c>
      <c r="O122" s="51">
        <f t="shared" si="9"/>
        <v>-4.3620000000000001</v>
      </c>
      <c r="P122" s="51">
        <v>0</v>
      </c>
      <c r="Q122" s="51">
        <v>0</v>
      </c>
      <c r="R122" s="52">
        <f t="shared" si="5"/>
        <v>24.637999999999998</v>
      </c>
      <c r="S122" s="53">
        <f t="shared" si="8"/>
        <v>29</v>
      </c>
      <c r="T122" s="54"/>
      <c r="U122" s="54"/>
      <c r="V122" s="54"/>
      <c r="W122" s="55"/>
      <c r="X122" s="55"/>
      <c r="Y122" s="68"/>
    </row>
    <row r="123" spans="2:25" ht="33" customHeight="1" x14ac:dyDescent="0.25">
      <c r="B123" s="44">
        <v>45975</v>
      </c>
      <c r="C123" s="108"/>
      <c r="D123" s="65"/>
      <c r="E123" s="65" t="s">
        <v>257</v>
      </c>
      <c r="F123" s="66"/>
      <c r="G123" s="67"/>
      <c r="H123" s="49" t="s">
        <v>118</v>
      </c>
      <c r="I123" s="50">
        <v>29</v>
      </c>
      <c r="J123" s="51">
        <v>1</v>
      </c>
      <c r="K123" s="51">
        <f t="shared" si="6"/>
        <v>29</v>
      </c>
      <c r="L123" s="51">
        <v>0</v>
      </c>
      <c r="M123" s="51">
        <v>0</v>
      </c>
      <c r="N123" s="51">
        <v>0</v>
      </c>
      <c r="O123" s="51">
        <f t="shared" si="9"/>
        <v>-4.3620000000000001</v>
      </c>
      <c r="P123" s="51">
        <v>0</v>
      </c>
      <c r="Q123" s="51">
        <v>0</v>
      </c>
      <c r="R123" s="52">
        <f t="shared" si="5"/>
        <v>24.637999999999998</v>
      </c>
      <c r="S123" s="53">
        <f t="shared" si="8"/>
        <v>29</v>
      </c>
      <c r="T123" s="54"/>
      <c r="U123" s="54"/>
      <c r="V123" s="54"/>
      <c r="W123" s="55"/>
      <c r="X123" s="55"/>
      <c r="Y123" s="68"/>
    </row>
    <row r="124" spans="2:25" ht="33" customHeight="1" x14ac:dyDescent="0.25">
      <c r="B124" s="44">
        <v>45975</v>
      </c>
      <c r="C124" s="109"/>
      <c r="D124" s="65"/>
      <c r="E124" s="65" t="s">
        <v>257</v>
      </c>
      <c r="F124" s="66"/>
      <c r="G124" s="67"/>
      <c r="H124" s="49" t="s">
        <v>258</v>
      </c>
      <c r="I124" s="50">
        <v>29</v>
      </c>
      <c r="J124" s="51">
        <v>1</v>
      </c>
      <c r="K124" s="51">
        <f t="shared" si="6"/>
        <v>29</v>
      </c>
      <c r="L124" s="51">
        <v>0</v>
      </c>
      <c r="M124" s="51">
        <v>0</v>
      </c>
      <c r="N124" s="51">
        <v>0</v>
      </c>
      <c r="O124" s="51">
        <f t="shared" si="9"/>
        <v>-4.3620000000000001</v>
      </c>
      <c r="P124" s="51">
        <v>0</v>
      </c>
      <c r="Q124" s="51">
        <v>0</v>
      </c>
      <c r="R124" s="52">
        <f t="shared" si="5"/>
        <v>24.637999999999998</v>
      </c>
      <c r="S124" s="53">
        <f t="shared" si="8"/>
        <v>29</v>
      </c>
      <c r="T124" s="54"/>
      <c r="U124" s="54"/>
      <c r="V124" s="54"/>
      <c r="W124" s="55"/>
      <c r="X124" s="55"/>
      <c r="Y124" s="68"/>
    </row>
    <row r="125" spans="2:25" ht="33" customHeight="1" x14ac:dyDescent="0.25">
      <c r="B125" s="13">
        <v>45976</v>
      </c>
      <c r="C125" s="30" t="s">
        <v>259</v>
      </c>
      <c r="D125" s="30"/>
      <c r="E125" s="30" t="s">
        <v>175</v>
      </c>
      <c r="F125" s="62"/>
      <c r="G125" s="40" t="s">
        <v>260</v>
      </c>
      <c r="H125" s="17" t="s">
        <v>261</v>
      </c>
      <c r="I125" s="18">
        <v>29</v>
      </c>
      <c r="J125" s="19">
        <v>20</v>
      </c>
      <c r="K125" s="19">
        <f t="shared" si="6"/>
        <v>580</v>
      </c>
      <c r="L125" s="19">
        <v>0</v>
      </c>
      <c r="M125" s="19">
        <v>-50</v>
      </c>
      <c r="N125" s="19">
        <v>50</v>
      </c>
      <c r="O125" s="19">
        <v>-32</v>
      </c>
      <c r="P125" s="19">
        <v>-13</v>
      </c>
      <c r="Q125" s="19">
        <v>-2.68</v>
      </c>
      <c r="R125" s="20">
        <f t="shared" si="5"/>
        <v>532.32000000000005</v>
      </c>
      <c r="S125" s="35">
        <f t="shared" si="8"/>
        <v>580</v>
      </c>
      <c r="T125" s="36">
        <v>0</v>
      </c>
      <c r="U125" s="36">
        <v>0</v>
      </c>
      <c r="V125" s="36">
        <v>0</v>
      </c>
      <c r="W125" s="37">
        <v>0</v>
      </c>
      <c r="X125" s="37">
        <v>0</v>
      </c>
      <c r="Y125" s="58">
        <f t="shared" si="7"/>
        <v>580</v>
      </c>
    </row>
    <row r="126" spans="2:25" ht="33" customHeight="1" x14ac:dyDescent="0.25">
      <c r="B126" s="13">
        <v>45976</v>
      </c>
      <c r="C126" s="30" t="s">
        <v>262</v>
      </c>
      <c r="D126" s="30"/>
      <c r="E126" s="30" t="s">
        <v>61</v>
      </c>
      <c r="F126" s="62"/>
      <c r="G126" s="40" t="s">
        <v>263</v>
      </c>
      <c r="H126" s="17" t="s">
        <v>55</v>
      </c>
      <c r="I126" s="18">
        <v>38</v>
      </c>
      <c r="J126" s="19">
        <v>2</v>
      </c>
      <c r="K126" s="19">
        <f t="shared" si="6"/>
        <v>76</v>
      </c>
      <c r="L126" s="19">
        <v>0</v>
      </c>
      <c r="M126" s="19">
        <v>-58</v>
      </c>
      <c r="N126" s="19">
        <v>58</v>
      </c>
      <c r="O126" s="19">
        <v>-4</v>
      </c>
      <c r="P126" s="19">
        <v>-2</v>
      </c>
      <c r="Q126" s="19">
        <v>-0.35</v>
      </c>
      <c r="R126" s="20">
        <f t="shared" si="5"/>
        <v>69.650000000000006</v>
      </c>
      <c r="S126" s="35">
        <f t="shared" si="8"/>
        <v>76</v>
      </c>
      <c r="T126" s="36">
        <v>0</v>
      </c>
      <c r="U126" s="36">
        <v>0</v>
      </c>
      <c r="V126" s="36">
        <v>0</v>
      </c>
      <c r="W126" s="37">
        <v>0</v>
      </c>
      <c r="X126" s="37">
        <v>0</v>
      </c>
      <c r="Y126" s="58">
        <f t="shared" si="7"/>
        <v>76</v>
      </c>
    </row>
    <row r="127" spans="2:25" ht="33" customHeight="1" x14ac:dyDescent="0.25">
      <c r="B127" s="13">
        <v>45976</v>
      </c>
      <c r="C127" s="30" t="s">
        <v>264</v>
      </c>
      <c r="D127" s="30"/>
      <c r="E127" s="30" t="s">
        <v>175</v>
      </c>
      <c r="F127" s="62"/>
      <c r="G127" s="40" t="s">
        <v>265</v>
      </c>
      <c r="H127" s="17" t="s">
        <v>80</v>
      </c>
      <c r="I127" s="18">
        <v>39</v>
      </c>
      <c r="J127" s="19">
        <v>10</v>
      </c>
      <c r="K127" s="19">
        <f t="shared" si="6"/>
        <v>390</v>
      </c>
      <c r="L127" s="19">
        <v>0</v>
      </c>
      <c r="M127" s="19">
        <v>-120</v>
      </c>
      <c r="N127" s="19">
        <v>120</v>
      </c>
      <c r="O127" s="19">
        <v>-22</v>
      </c>
      <c r="P127" s="19">
        <v>-9</v>
      </c>
      <c r="Q127" s="19">
        <v>-1.8</v>
      </c>
      <c r="R127" s="20">
        <f t="shared" si="5"/>
        <v>357.2</v>
      </c>
      <c r="S127" s="35">
        <f t="shared" si="8"/>
        <v>390</v>
      </c>
      <c r="T127" s="36">
        <v>0</v>
      </c>
      <c r="U127" s="36">
        <v>-20</v>
      </c>
      <c r="V127" s="36">
        <v>0</v>
      </c>
      <c r="W127" s="37">
        <v>0</v>
      </c>
      <c r="X127" s="37">
        <v>0</v>
      </c>
      <c r="Y127" s="58">
        <f t="shared" si="7"/>
        <v>370</v>
      </c>
    </row>
    <row r="128" spans="2:25" ht="33" customHeight="1" x14ac:dyDescent="0.25">
      <c r="B128" s="13">
        <v>45976</v>
      </c>
      <c r="C128" s="100" t="s">
        <v>266</v>
      </c>
      <c r="D128" s="30"/>
      <c r="E128" s="30" t="s">
        <v>175</v>
      </c>
      <c r="F128" s="62"/>
      <c r="G128" s="102" t="s">
        <v>267</v>
      </c>
      <c r="H128" s="17" t="s">
        <v>162</v>
      </c>
      <c r="I128" s="18">
        <v>38</v>
      </c>
      <c r="J128" s="19">
        <v>6</v>
      </c>
      <c r="K128" s="19">
        <f t="shared" si="6"/>
        <v>228</v>
      </c>
      <c r="L128" s="19">
        <v>0</v>
      </c>
      <c r="M128" s="19">
        <v>-65</v>
      </c>
      <c r="N128" s="19">
        <v>65</v>
      </c>
      <c r="O128" s="19">
        <v>-11.5</v>
      </c>
      <c r="P128" s="19">
        <v>-4.5</v>
      </c>
      <c r="Q128" s="19">
        <f>-(1.85/2)</f>
        <v>-0.92500000000000004</v>
      </c>
      <c r="R128" s="20">
        <f t="shared" si="5"/>
        <v>211.07499999999999</v>
      </c>
      <c r="S128" s="35">
        <f t="shared" si="8"/>
        <v>228</v>
      </c>
      <c r="T128" s="36">
        <v>0</v>
      </c>
      <c r="U128" s="36">
        <v>0</v>
      </c>
      <c r="V128" s="36">
        <v>0</v>
      </c>
      <c r="W128" s="37">
        <v>0</v>
      </c>
      <c r="X128" s="37">
        <v>0</v>
      </c>
      <c r="Y128" s="58">
        <f t="shared" si="7"/>
        <v>228</v>
      </c>
    </row>
    <row r="129" spans="2:25" ht="33" customHeight="1" x14ac:dyDescent="0.25">
      <c r="B129" s="13">
        <v>45976</v>
      </c>
      <c r="C129" s="101"/>
      <c r="D129" s="30"/>
      <c r="E129" s="30" t="s">
        <v>175</v>
      </c>
      <c r="F129" s="62"/>
      <c r="G129" s="103"/>
      <c r="H129" s="17" t="s">
        <v>93</v>
      </c>
      <c r="I129" s="18">
        <v>29</v>
      </c>
      <c r="J129" s="19">
        <v>6</v>
      </c>
      <c r="K129" s="19">
        <f t="shared" si="6"/>
        <v>174</v>
      </c>
      <c r="L129" s="19">
        <v>0</v>
      </c>
      <c r="M129" s="19">
        <v>-65</v>
      </c>
      <c r="N129" s="19">
        <v>65</v>
      </c>
      <c r="O129" s="19">
        <v>-11.5</v>
      </c>
      <c r="P129" s="19">
        <v>-4.5</v>
      </c>
      <c r="Q129" s="19">
        <f>-(1.85/2)</f>
        <v>-0.92500000000000004</v>
      </c>
      <c r="R129" s="20">
        <f t="shared" si="5"/>
        <v>157.07499999999999</v>
      </c>
      <c r="S129" s="35">
        <f t="shared" si="8"/>
        <v>174</v>
      </c>
      <c r="T129" s="36">
        <v>0</v>
      </c>
      <c r="U129" s="36">
        <v>0</v>
      </c>
      <c r="V129" s="36">
        <v>0</v>
      </c>
      <c r="W129" s="37">
        <v>0</v>
      </c>
      <c r="X129" s="37">
        <v>0</v>
      </c>
      <c r="Y129" s="58">
        <f t="shared" si="7"/>
        <v>174</v>
      </c>
    </row>
    <row r="130" spans="2:25" ht="33" customHeight="1" x14ac:dyDescent="0.25">
      <c r="B130" s="13">
        <v>45977</v>
      </c>
      <c r="C130" s="14" t="s">
        <v>268</v>
      </c>
      <c r="D130" s="30"/>
      <c r="E130" s="30" t="s">
        <v>175</v>
      </c>
      <c r="F130" s="62"/>
      <c r="G130" s="40" t="s">
        <v>269</v>
      </c>
      <c r="H130" s="17" t="s">
        <v>270</v>
      </c>
      <c r="I130" s="18">
        <v>29</v>
      </c>
      <c r="J130" s="19">
        <v>24</v>
      </c>
      <c r="K130" s="19">
        <f t="shared" si="6"/>
        <v>696</v>
      </c>
      <c r="L130" s="19">
        <v>0</v>
      </c>
      <c r="M130" s="19">
        <v>-50</v>
      </c>
      <c r="N130" s="19">
        <v>50</v>
      </c>
      <c r="O130" s="19">
        <v>-39</v>
      </c>
      <c r="P130" s="19">
        <v>-16</v>
      </c>
      <c r="Q130" s="19">
        <v>-3.21</v>
      </c>
      <c r="R130" s="20">
        <f t="shared" ref="R130:R153" si="10">SUM(K130:Q130)</f>
        <v>637.79</v>
      </c>
      <c r="S130" s="35">
        <f t="shared" si="8"/>
        <v>696</v>
      </c>
      <c r="T130" s="36">
        <v>0</v>
      </c>
      <c r="U130" s="36">
        <v>-100</v>
      </c>
      <c r="V130" s="36">
        <v>0</v>
      </c>
      <c r="W130" s="37">
        <v>0</v>
      </c>
      <c r="X130" s="37">
        <v>0</v>
      </c>
      <c r="Y130" s="58">
        <f t="shared" si="7"/>
        <v>596</v>
      </c>
    </row>
    <row r="131" spans="2:25" ht="33" customHeight="1" x14ac:dyDescent="0.25">
      <c r="B131" s="13">
        <v>45977</v>
      </c>
      <c r="C131" s="100" t="s">
        <v>271</v>
      </c>
      <c r="D131" s="30"/>
      <c r="E131" s="30" t="s">
        <v>175</v>
      </c>
      <c r="F131" s="62"/>
      <c r="G131" s="102" t="s">
        <v>272</v>
      </c>
      <c r="H131" s="17" t="s">
        <v>169</v>
      </c>
      <c r="I131" s="18">
        <v>39</v>
      </c>
      <c r="J131" s="19">
        <v>6</v>
      </c>
      <c r="K131" s="19">
        <f t="shared" si="6"/>
        <v>234</v>
      </c>
      <c r="L131" s="19">
        <v>0</v>
      </c>
      <c r="M131" s="19">
        <v>0</v>
      </c>
      <c r="N131" s="19">
        <v>0</v>
      </c>
      <c r="O131" s="19">
        <f>-(42/20)*6</f>
        <v>-12.600000000000001</v>
      </c>
      <c r="P131" s="19">
        <f>-(17/20)*6</f>
        <v>-5.0999999999999996</v>
      </c>
      <c r="Q131" s="19">
        <f>-(3.48/20)*6</f>
        <v>-1.044</v>
      </c>
      <c r="R131" s="20">
        <f t="shared" si="10"/>
        <v>215.256</v>
      </c>
      <c r="S131" s="35">
        <f t="shared" si="8"/>
        <v>234</v>
      </c>
      <c r="T131" s="36">
        <v>0</v>
      </c>
      <c r="U131" s="36">
        <v>0</v>
      </c>
      <c r="V131" s="36">
        <v>0</v>
      </c>
      <c r="W131" s="37">
        <v>0</v>
      </c>
      <c r="X131" s="37">
        <v>0</v>
      </c>
      <c r="Y131" s="58">
        <f t="shared" si="7"/>
        <v>234</v>
      </c>
    </row>
    <row r="132" spans="2:25" ht="33" customHeight="1" x14ac:dyDescent="0.25">
      <c r="B132" s="13">
        <v>45977</v>
      </c>
      <c r="C132" s="110"/>
      <c r="D132" s="30"/>
      <c r="E132" s="30" t="s">
        <v>175</v>
      </c>
      <c r="F132" s="62"/>
      <c r="G132" s="111"/>
      <c r="H132" s="17" t="s">
        <v>141</v>
      </c>
      <c r="I132" s="18">
        <v>39</v>
      </c>
      <c r="J132" s="19">
        <v>6</v>
      </c>
      <c r="K132" s="19">
        <f t="shared" si="6"/>
        <v>234</v>
      </c>
      <c r="L132" s="19">
        <v>0</v>
      </c>
      <c r="M132" s="19">
        <v>0</v>
      </c>
      <c r="N132" s="19">
        <v>0</v>
      </c>
      <c r="O132" s="19">
        <f>-(42/20)*6</f>
        <v>-12.600000000000001</v>
      </c>
      <c r="P132" s="19">
        <f>-(17/20)*6</f>
        <v>-5.0999999999999996</v>
      </c>
      <c r="Q132" s="19">
        <f>-(3.48/20)*6</f>
        <v>-1.044</v>
      </c>
      <c r="R132" s="20">
        <f t="shared" si="10"/>
        <v>215.256</v>
      </c>
      <c r="S132" s="35">
        <f t="shared" si="8"/>
        <v>234</v>
      </c>
      <c r="T132" s="36">
        <v>0</v>
      </c>
      <c r="U132" s="36">
        <v>0</v>
      </c>
      <c r="V132" s="36">
        <v>0</v>
      </c>
      <c r="W132" s="37">
        <v>0</v>
      </c>
      <c r="X132" s="37">
        <v>0</v>
      </c>
      <c r="Y132" s="58">
        <f t="shared" si="7"/>
        <v>234</v>
      </c>
    </row>
    <row r="133" spans="2:25" ht="33" customHeight="1" x14ac:dyDescent="0.25">
      <c r="B133" s="13">
        <v>45977</v>
      </c>
      <c r="C133" s="110"/>
      <c r="D133" s="30"/>
      <c r="E133" s="30" t="s">
        <v>175</v>
      </c>
      <c r="F133" s="62"/>
      <c r="G133" s="111"/>
      <c r="H133" s="17" t="s">
        <v>28</v>
      </c>
      <c r="I133" s="18">
        <v>38</v>
      </c>
      <c r="J133" s="19">
        <v>6</v>
      </c>
      <c r="K133" s="19">
        <f t="shared" si="6"/>
        <v>228</v>
      </c>
      <c r="L133" s="19">
        <v>0</v>
      </c>
      <c r="M133" s="19">
        <v>0</v>
      </c>
      <c r="N133" s="19">
        <v>0</v>
      </c>
      <c r="O133" s="19">
        <f>-(42/20)*6</f>
        <v>-12.600000000000001</v>
      </c>
      <c r="P133" s="19">
        <f>-(17/20)*6</f>
        <v>-5.0999999999999996</v>
      </c>
      <c r="Q133" s="19">
        <f>-(3.48/20)*6</f>
        <v>-1.044</v>
      </c>
      <c r="R133" s="20">
        <f t="shared" si="10"/>
        <v>209.256</v>
      </c>
      <c r="S133" s="35">
        <f t="shared" si="8"/>
        <v>228</v>
      </c>
      <c r="T133" s="36">
        <v>0</v>
      </c>
      <c r="U133" s="36">
        <v>0</v>
      </c>
      <c r="V133" s="36">
        <v>0</v>
      </c>
      <c r="W133" s="37">
        <v>0</v>
      </c>
      <c r="X133" s="37">
        <v>0</v>
      </c>
      <c r="Y133" s="58">
        <f t="shared" si="7"/>
        <v>228</v>
      </c>
    </row>
    <row r="134" spans="2:25" ht="33" customHeight="1" x14ac:dyDescent="0.25">
      <c r="B134" s="13">
        <v>45977</v>
      </c>
      <c r="C134" s="110"/>
      <c r="D134" s="30"/>
      <c r="E134" s="30" t="s">
        <v>175</v>
      </c>
      <c r="F134" s="62"/>
      <c r="G134" s="111"/>
      <c r="H134" s="17" t="s">
        <v>118</v>
      </c>
      <c r="I134" s="18">
        <v>29</v>
      </c>
      <c r="J134" s="19">
        <v>1</v>
      </c>
      <c r="K134" s="19">
        <f t="shared" si="6"/>
        <v>29</v>
      </c>
      <c r="L134" s="19">
        <v>0</v>
      </c>
      <c r="M134" s="19">
        <v>0</v>
      </c>
      <c r="N134" s="19">
        <v>0</v>
      </c>
      <c r="O134" s="19">
        <f>-(42/20)*1</f>
        <v>-2.1</v>
      </c>
      <c r="P134" s="19">
        <f>-(17/20)*1</f>
        <v>-0.85</v>
      </c>
      <c r="Q134" s="19">
        <f>-(3.48/20)*1</f>
        <v>-0.17399999999999999</v>
      </c>
      <c r="R134" s="20">
        <f t="shared" si="10"/>
        <v>25.875999999999998</v>
      </c>
      <c r="S134" s="35">
        <f t="shared" si="8"/>
        <v>29</v>
      </c>
      <c r="T134" s="36">
        <v>0</v>
      </c>
      <c r="U134" s="36">
        <v>0</v>
      </c>
      <c r="V134" s="36">
        <v>0</v>
      </c>
      <c r="W134" s="37">
        <v>0</v>
      </c>
      <c r="X134" s="37">
        <v>0</v>
      </c>
      <c r="Y134" s="58">
        <f t="shared" si="7"/>
        <v>29</v>
      </c>
    </row>
    <row r="135" spans="2:25" ht="33" customHeight="1" x14ac:dyDescent="0.25">
      <c r="B135" s="13">
        <v>45977</v>
      </c>
      <c r="C135" s="101"/>
      <c r="D135" s="30"/>
      <c r="E135" s="30" t="s">
        <v>175</v>
      </c>
      <c r="F135" s="62"/>
      <c r="G135" s="103"/>
      <c r="H135" s="17" t="s">
        <v>93</v>
      </c>
      <c r="I135" s="18">
        <v>29</v>
      </c>
      <c r="J135" s="19">
        <v>1</v>
      </c>
      <c r="K135" s="19">
        <f t="shared" si="6"/>
        <v>29</v>
      </c>
      <c r="L135" s="19">
        <v>0</v>
      </c>
      <c r="M135" s="19">
        <v>0</v>
      </c>
      <c r="N135" s="19">
        <v>0</v>
      </c>
      <c r="O135" s="19">
        <f>-(42/20)*1</f>
        <v>-2.1</v>
      </c>
      <c r="P135" s="19">
        <f>-(17/20)*1</f>
        <v>-0.85</v>
      </c>
      <c r="Q135" s="19">
        <f>-(3.48/20)*1</f>
        <v>-0.17399999999999999</v>
      </c>
      <c r="R135" s="20">
        <f t="shared" si="10"/>
        <v>25.875999999999998</v>
      </c>
      <c r="S135" s="35">
        <f t="shared" si="8"/>
        <v>29</v>
      </c>
      <c r="T135" s="36">
        <v>0</v>
      </c>
      <c r="U135" s="36">
        <v>0</v>
      </c>
      <c r="V135" s="36">
        <v>0</v>
      </c>
      <c r="W135" s="37">
        <v>0</v>
      </c>
      <c r="X135" s="37">
        <v>0</v>
      </c>
      <c r="Y135" s="58">
        <f t="shared" si="7"/>
        <v>29</v>
      </c>
    </row>
    <row r="136" spans="2:25" ht="33" customHeight="1" x14ac:dyDescent="0.25">
      <c r="B136" s="13">
        <v>45977</v>
      </c>
      <c r="C136" s="30" t="s">
        <v>273</v>
      </c>
      <c r="D136" s="30"/>
      <c r="E136" s="30" t="s">
        <v>175</v>
      </c>
      <c r="F136" s="62"/>
      <c r="G136" s="40" t="s">
        <v>274</v>
      </c>
      <c r="H136" s="17" t="s">
        <v>36</v>
      </c>
      <c r="I136" s="18">
        <v>39</v>
      </c>
      <c r="J136" s="19">
        <v>4</v>
      </c>
      <c r="K136" s="19">
        <f t="shared" si="6"/>
        <v>156</v>
      </c>
      <c r="L136" s="19">
        <v>8</v>
      </c>
      <c r="M136" s="19">
        <v>-58</v>
      </c>
      <c r="N136" s="19">
        <v>50</v>
      </c>
      <c r="O136" s="19">
        <v>-9</v>
      </c>
      <c r="P136" s="19">
        <v>-4</v>
      </c>
      <c r="Q136" s="19">
        <v>-0.72</v>
      </c>
      <c r="R136" s="20">
        <f t="shared" si="10"/>
        <v>142.28</v>
      </c>
      <c r="S136" s="35">
        <f t="shared" si="8"/>
        <v>156</v>
      </c>
      <c r="T136" s="36">
        <v>8</v>
      </c>
      <c r="U136" s="36">
        <v>0</v>
      </c>
      <c r="V136" s="36">
        <v>0</v>
      </c>
      <c r="W136" s="37">
        <v>0</v>
      </c>
      <c r="X136" s="37">
        <v>0</v>
      </c>
      <c r="Y136" s="58">
        <f t="shared" si="7"/>
        <v>164</v>
      </c>
    </row>
    <row r="137" spans="2:25" ht="33" customHeight="1" x14ac:dyDescent="0.25">
      <c r="B137" s="13">
        <v>45977</v>
      </c>
      <c r="C137" s="30" t="s">
        <v>275</v>
      </c>
      <c r="D137" s="30"/>
      <c r="E137" s="30" t="s">
        <v>175</v>
      </c>
      <c r="F137" s="62"/>
      <c r="G137" s="40" t="s">
        <v>276</v>
      </c>
      <c r="H137" s="17" t="s">
        <v>151</v>
      </c>
      <c r="I137" s="18">
        <v>29</v>
      </c>
      <c r="J137" s="19">
        <v>5</v>
      </c>
      <c r="K137" s="19">
        <f t="shared" si="6"/>
        <v>145</v>
      </c>
      <c r="L137" s="19">
        <v>0</v>
      </c>
      <c r="M137" s="19">
        <v>-36</v>
      </c>
      <c r="N137" s="19">
        <v>36</v>
      </c>
      <c r="O137" s="19">
        <v>-8</v>
      </c>
      <c r="P137" s="19">
        <v>-3</v>
      </c>
      <c r="Q137" s="19">
        <v>-0.67</v>
      </c>
      <c r="R137" s="20">
        <f t="shared" si="10"/>
        <v>133.33000000000001</v>
      </c>
      <c r="S137" s="35">
        <f t="shared" si="8"/>
        <v>145</v>
      </c>
      <c r="T137" s="36">
        <v>0</v>
      </c>
      <c r="U137" s="36">
        <v>0</v>
      </c>
      <c r="V137" s="36">
        <v>0</v>
      </c>
      <c r="W137" s="37">
        <v>0</v>
      </c>
      <c r="X137" s="37">
        <v>0</v>
      </c>
      <c r="Y137" s="58">
        <f t="shared" si="7"/>
        <v>145</v>
      </c>
    </row>
    <row r="138" spans="2:25" ht="33" customHeight="1" x14ac:dyDescent="0.25">
      <c r="B138" s="13">
        <v>45977</v>
      </c>
      <c r="C138" s="30" t="s">
        <v>277</v>
      </c>
      <c r="D138" s="30"/>
      <c r="E138" s="30" t="s">
        <v>175</v>
      </c>
      <c r="F138" s="62"/>
      <c r="G138" s="40" t="s">
        <v>278</v>
      </c>
      <c r="H138" s="17" t="s">
        <v>157</v>
      </c>
      <c r="I138" s="18">
        <v>39</v>
      </c>
      <c r="J138" s="19">
        <v>2</v>
      </c>
      <c r="K138" s="19">
        <f t="shared" si="6"/>
        <v>78</v>
      </c>
      <c r="L138" s="19">
        <v>0</v>
      </c>
      <c r="M138" s="19">
        <v>0</v>
      </c>
      <c r="N138" s="19">
        <v>0</v>
      </c>
      <c r="O138" s="19">
        <v>-4</v>
      </c>
      <c r="P138" s="19">
        <v>-2</v>
      </c>
      <c r="Q138" s="19">
        <v>-0.36</v>
      </c>
      <c r="R138" s="20">
        <f t="shared" si="10"/>
        <v>71.64</v>
      </c>
      <c r="S138" s="35">
        <f t="shared" si="8"/>
        <v>78</v>
      </c>
      <c r="T138" s="36">
        <v>0</v>
      </c>
      <c r="U138" s="36">
        <v>0</v>
      </c>
      <c r="V138" s="36">
        <v>0</v>
      </c>
      <c r="W138" s="37">
        <v>0</v>
      </c>
      <c r="X138" s="37">
        <v>0</v>
      </c>
      <c r="Y138" s="58">
        <f t="shared" si="7"/>
        <v>78</v>
      </c>
    </row>
    <row r="139" spans="2:25" ht="33" customHeight="1" x14ac:dyDescent="0.25">
      <c r="B139" s="13">
        <v>45977</v>
      </c>
      <c r="C139" s="30" t="s">
        <v>279</v>
      </c>
      <c r="D139" s="30"/>
      <c r="E139" s="30" t="s">
        <v>175</v>
      </c>
      <c r="F139" s="62"/>
      <c r="G139" s="40" t="s">
        <v>280</v>
      </c>
      <c r="H139" s="17" t="s">
        <v>48</v>
      </c>
      <c r="I139" s="18">
        <v>38</v>
      </c>
      <c r="J139" s="19">
        <v>5</v>
      </c>
      <c r="K139" s="19">
        <f t="shared" si="6"/>
        <v>190</v>
      </c>
      <c r="L139" s="19">
        <v>0</v>
      </c>
      <c r="M139" s="19">
        <v>0</v>
      </c>
      <c r="N139" s="19">
        <v>0</v>
      </c>
      <c r="O139" s="19">
        <v>-11</v>
      </c>
      <c r="P139" s="19">
        <v>-4</v>
      </c>
      <c r="Q139" s="19">
        <v>-0.88</v>
      </c>
      <c r="R139" s="20">
        <f t="shared" si="10"/>
        <v>174.12</v>
      </c>
      <c r="S139" s="35">
        <f t="shared" si="8"/>
        <v>190</v>
      </c>
      <c r="T139" s="36">
        <v>0</v>
      </c>
      <c r="U139" s="36">
        <v>0</v>
      </c>
      <c r="V139" s="36">
        <v>0</v>
      </c>
      <c r="W139" s="37">
        <v>0</v>
      </c>
      <c r="X139" s="37">
        <v>0</v>
      </c>
      <c r="Y139" s="58">
        <f t="shared" si="7"/>
        <v>190</v>
      </c>
    </row>
    <row r="140" spans="2:25" ht="33" customHeight="1" x14ac:dyDescent="0.25">
      <c r="B140" s="13">
        <v>45977</v>
      </c>
      <c r="C140" s="30" t="s">
        <v>281</v>
      </c>
      <c r="D140" s="30"/>
      <c r="E140" s="30" t="s">
        <v>175</v>
      </c>
      <c r="F140" s="62"/>
      <c r="G140" s="40" t="s">
        <v>282</v>
      </c>
      <c r="H140" s="17" t="s">
        <v>28</v>
      </c>
      <c r="I140" s="18">
        <v>38</v>
      </c>
      <c r="J140" s="19">
        <v>3</v>
      </c>
      <c r="K140" s="19">
        <f t="shared" si="6"/>
        <v>114</v>
      </c>
      <c r="L140" s="19">
        <v>8</v>
      </c>
      <c r="M140" s="19">
        <v>-58</v>
      </c>
      <c r="N140" s="19">
        <v>50</v>
      </c>
      <c r="O140" s="19">
        <v>-6</v>
      </c>
      <c r="P140" s="19">
        <v>-3</v>
      </c>
      <c r="Q140" s="19">
        <v>-0.53</v>
      </c>
      <c r="R140" s="20">
        <f t="shared" si="10"/>
        <v>104.47</v>
      </c>
      <c r="S140" s="35">
        <f t="shared" si="8"/>
        <v>114</v>
      </c>
      <c r="T140" s="36">
        <v>8</v>
      </c>
      <c r="U140" s="36">
        <v>0</v>
      </c>
      <c r="V140" s="36">
        <v>0</v>
      </c>
      <c r="W140" s="37">
        <v>0</v>
      </c>
      <c r="X140" s="37">
        <v>0</v>
      </c>
      <c r="Y140" s="58">
        <f t="shared" si="7"/>
        <v>122</v>
      </c>
    </row>
    <row r="141" spans="2:25" ht="33" customHeight="1" x14ac:dyDescent="0.25">
      <c r="B141" s="13">
        <v>45977</v>
      </c>
      <c r="C141" s="30" t="s">
        <v>283</v>
      </c>
      <c r="D141" s="30"/>
      <c r="E141" s="30" t="s">
        <v>175</v>
      </c>
      <c r="F141" s="62"/>
      <c r="G141" s="40" t="s">
        <v>284</v>
      </c>
      <c r="H141" s="17" t="s">
        <v>89</v>
      </c>
      <c r="I141" s="18">
        <v>29</v>
      </c>
      <c r="J141" s="19">
        <v>3</v>
      </c>
      <c r="K141" s="19">
        <f t="shared" si="6"/>
        <v>87</v>
      </c>
      <c r="L141" s="19">
        <v>0</v>
      </c>
      <c r="M141" s="19">
        <v>0</v>
      </c>
      <c r="N141" s="19">
        <v>0</v>
      </c>
      <c r="O141" s="19">
        <v>-5</v>
      </c>
      <c r="P141" s="19">
        <v>-2</v>
      </c>
      <c r="Q141" s="19">
        <v>-0.4</v>
      </c>
      <c r="R141" s="20">
        <f t="shared" si="10"/>
        <v>79.599999999999994</v>
      </c>
      <c r="S141" s="35">
        <f t="shared" si="8"/>
        <v>87</v>
      </c>
      <c r="T141" s="36">
        <v>0</v>
      </c>
      <c r="U141" s="36">
        <v>-18</v>
      </c>
      <c r="V141" s="36">
        <v>0</v>
      </c>
      <c r="W141" s="37">
        <v>0</v>
      </c>
      <c r="X141" s="37">
        <v>0</v>
      </c>
      <c r="Y141" s="58">
        <f t="shared" si="7"/>
        <v>69</v>
      </c>
    </row>
    <row r="142" spans="2:25" ht="33" customHeight="1" x14ac:dyDescent="0.25">
      <c r="B142" s="13">
        <v>45977</v>
      </c>
      <c r="C142" s="30" t="s">
        <v>285</v>
      </c>
      <c r="D142" s="30"/>
      <c r="E142" s="30" t="s">
        <v>175</v>
      </c>
      <c r="F142" s="62"/>
      <c r="G142" s="40" t="s">
        <v>286</v>
      </c>
      <c r="H142" s="17" t="s">
        <v>73</v>
      </c>
      <c r="I142" s="18">
        <v>28</v>
      </c>
      <c r="J142" s="19">
        <v>10</v>
      </c>
      <c r="K142" s="19">
        <f t="shared" si="6"/>
        <v>280</v>
      </c>
      <c r="L142" s="19">
        <v>0</v>
      </c>
      <c r="M142" s="19">
        <v>0</v>
      </c>
      <c r="N142" s="19">
        <v>0</v>
      </c>
      <c r="O142" s="19">
        <v>-16</v>
      </c>
      <c r="P142" s="19">
        <v>-6</v>
      </c>
      <c r="Q142" s="19">
        <v>-1.29</v>
      </c>
      <c r="R142" s="20">
        <f t="shared" si="10"/>
        <v>256.70999999999998</v>
      </c>
      <c r="S142" s="35">
        <f t="shared" si="8"/>
        <v>280</v>
      </c>
      <c r="T142" s="36">
        <v>0</v>
      </c>
      <c r="U142" s="36">
        <v>-14</v>
      </c>
      <c r="V142" s="36">
        <v>0</v>
      </c>
      <c r="W142" s="37">
        <v>0</v>
      </c>
      <c r="X142" s="37">
        <v>0</v>
      </c>
      <c r="Y142" s="58">
        <f t="shared" si="7"/>
        <v>266</v>
      </c>
    </row>
    <row r="143" spans="2:25" ht="33" customHeight="1" x14ac:dyDescent="0.25">
      <c r="B143" s="13">
        <v>45977</v>
      </c>
      <c r="C143" s="30" t="s">
        <v>287</v>
      </c>
      <c r="D143" s="30"/>
      <c r="E143" s="30" t="s">
        <v>175</v>
      </c>
      <c r="F143" s="62"/>
      <c r="G143" s="40" t="s">
        <v>288</v>
      </c>
      <c r="H143" s="17" t="s">
        <v>103</v>
      </c>
      <c r="I143" s="18">
        <v>39</v>
      </c>
      <c r="J143" s="19">
        <v>5</v>
      </c>
      <c r="K143" s="19">
        <f t="shared" si="6"/>
        <v>195</v>
      </c>
      <c r="L143" s="19">
        <v>0</v>
      </c>
      <c r="M143" s="19">
        <v>0</v>
      </c>
      <c r="N143" s="19">
        <v>0</v>
      </c>
      <c r="O143" s="19">
        <v>-11</v>
      </c>
      <c r="P143" s="19">
        <v>-4</v>
      </c>
      <c r="Q143" s="19">
        <v>-0.9</v>
      </c>
      <c r="R143" s="20">
        <f t="shared" si="10"/>
        <v>179.1</v>
      </c>
      <c r="S143" s="35">
        <f t="shared" si="8"/>
        <v>195</v>
      </c>
      <c r="T143" s="36">
        <v>0</v>
      </c>
      <c r="U143" s="36">
        <v>0</v>
      </c>
      <c r="V143" s="36">
        <v>0</v>
      </c>
      <c r="W143" s="37">
        <v>0</v>
      </c>
      <c r="X143" s="37">
        <v>0</v>
      </c>
      <c r="Y143" s="58">
        <f t="shared" si="7"/>
        <v>195</v>
      </c>
    </row>
    <row r="144" spans="2:25" ht="33" customHeight="1" x14ac:dyDescent="0.25">
      <c r="B144" s="13">
        <v>45977</v>
      </c>
      <c r="C144" s="30" t="s">
        <v>289</v>
      </c>
      <c r="D144" s="30"/>
      <c r="E144" s="30" t="s">
        <v>175</v>
      </c>
      <c r="F144" s="62"/>
      <c r="G144" s="40" t="s">
        <v>290</v>
      </c>
      <c r="H144" s="17" t="s">
        <v>36</v>
      </c>
      <c r="I144" s="18">
        <v>39</v>
      </c>
      <c r="J144" s="19">
        <v>5</v>
      </c>
      <c r="K144" s="19">
        <f t="shared" si="6"/>
        <v>195</v>
      </c>
      <c r="L144" s="19">
        <v>0</v>
      </c>
      <c r="M144" s="19">
        <v>-58</v>
      </c>
      <c r="N144" s="19">
        <v>58</v>
      </c>
      <c r="O144" s="19">
        <v>-11</v>
      </c>
      <c r="P144" s="19">
        <v>-4</v>
      </c>
      <c r="Q144" s="19">
        <v>-0.9</v>
      </c>
      <c r="R144" s="20">
        <f t="shared" si="10"/>
        <v>179.1</v>
      </c>
      <c r="S144" s="35">
        <f t="shared" si="8"/>
        <v>195</v>
      </c>
      <c r="T144" s="36">
        <v>0</v>
      </c>
      <c r="U144" s="36">
        <v>0</v>
      </c>
      <c r="V144" s="36">
        <v>0</v>
      </c>
      <c r="W144" s="37">
        <v>0</v>
      </c>
      <c r="X144" s="37">
        <v>0</v>
      </c>
      <c r="Y144" s="58">
        <f t="shared" si="7"/>
        <v>195</v>
      </c>
    </row>
    <row r="145" spans="2:25" ht="33" customHeight="1" x14ac:dyDescent="0.25">
      <c r="B145" s="13">
        <v>45977</v>
      </c>
      <c r="C145" s="30" t="s">
        <v>291</v>
      </c>
      <c r="D145" s="30"/>
      <c r="E145" s="30" t="s">
        <v>292</v>
      </c>
      <c r="F145" s="62"/>
      <c r="G145" s="40" t="s">
        <v>293</v>
      </c>
      <c r="H145" s="17" t="s">
        <v>89</v>
      </c>
      <c r="I145" s="18">
        <v>29</v>
      </c>
      <c r="J145" s="19">
        <v>2</v>
      </c>
      <c r="K145" s="19">
        <f t="shared" si="6"/>
        <v>58</v>
      </c>
      <c r="L145" s="19">
        <v>0</v>
      </c>
      <c r="M145" s="19">
        <v>0</v>
      </c>
      <c r="N145" s="19">
        <v>0</v>
      </c>
      <c r="O145" s="19">
        <v>-3</v>
      </c>
      <c r="P145" s="19">
        <v>-1</v>
      </c>
      <c r="Q145" s="19">
        <v>-0.27</v>
      </c>
      <c r="R145" s="20">
        <f t="shared" si="10"/>
        <v>53.73</v>
      </c>
      <c r="S145" s="35">
        <f t="shared" si="8"/>
        <v>58</v>
      </c>
      <c r="T145" s="36">
        <v>0</v>
      </c>
      <c r="U145" s="36">
        <v>0</v>
      </c>
      <c r="V145" s="36">
        <v>0</v>
      </c>
      <c r="W145" s="37">
        <v>0</v>
      </c>
      <c r="X145" s="37">
        <v>0</v>
      </c>
      <c r="Y145" s="58">
        <f t="shared" si="7"/>
        <v>58</v>
      </c>
    </row>
    <row r="146" spans="2:25" ht="33" customHeight="1" x14ac:dyDescent="0.25">
      <c r="B146" s="13">
        <v>45977</v>
      </c>
      <c r="C146" s="30" t="s">
        <v>294</v>
      </c>
      <c r="D146" s="30"/>
      <c r="E146" s="30" t="s">
        <v>292</v>
      </c>
      <c r="F146" s="62"/>
      <c r="G146" s="40" t="s">
        <v>295</v>
      </c>
      <c r="H146" s="17" t="s">
        <v>39</v>
      </c>
      <c r="I146" s="18">
        <v>38</v>
      </c>
      <c r="J146" s="19">
        <v>1</v>
      </c>
      <c r="K146" s="19">
        <f t="shared" si="6"/>
        <v>38</v>
      </c>
      <c r="L146" s="19">
        <v>0</v>
      </c>
      <c r="M146" s="19">
        <v>0</v>
      </c>
      <c r="N146" s="19">
        <v>0</v>
      </c>
      <c r="O146" s="19">
        <v>-2</v>
      </c>
      <c r="P146" s="19">
        <v>-1</v>
      </c>
      <c r="Q146" s="19">
        <v>-0.18</v>
      </c>
      <c r="R146" s="20">
        <f t="shared" si="10"/>
        <v>34.82</v>
      </c>
      <c r="S146" s="35">
        <f t="shared" si="8"/>
        <v>38</v>
      </c>
      <c r="T146" s="36">
        <v>0</v>
      </c>
      <c r="U146" s="36">
        <v>-38</v>
      </c>
      <c r="V146" s="36">
        <v>0</v>
      </c>
      <c r="W146" s="37">
        <v>0</v>
      </c>
      <c r="X146" s="37">
        <v>0</v>
      </c>
      <c r="Y146" s="58">
        <f t="shared" si="7"/>
        <v>0</v>
      </c>
    </row>
    <row r="147" spans="2:25" ht="33" customHeight="1" x14ac:dyDescent="0.25">
      <c r="B147" s="13">
        <v>45977</v>
      </c>
      <c r="C147" s="30" t="s">
        <v>296</v>
      </c>
      <c r="D147" s="30"/>
      <c r="E147" s="30" t="s">
        <v>292</v>
      </c>
      <c r="F147" s="62"/>
      <c r="G147" s="40" t="s">
        <v>297</v>
      </c>
      <c r="H147" s="17" t="s">
        <v>51</v>
      </c>
      <c r="I147" s="18">
        <v>39</v>
      </c>
      <c r="J147" s="19">
        <v>4</v>
      </c>
      <c r="K147" s="19">
        <f t="shared" si="6"/>
        <v>156</v>
      </c>
      <c r="L147" s="19">
        <v>0</v>
      </c>
      <c r="M147" s="19">
        <v>-36</v>
      </c>
      <c r="N147" s="19">
        <v>36</v>
      </c>
      <c r="O147" s="19">
        <v>-9</v>
      </c>
      <c r="P147" s="19">
        <v>-3</v>
      </c>
      <c r="Q147" s="19">
        <v>-0.72</v>
      </c>
      <c r="R147" s="20">
        <f t="shared" si="10"/>
        <v>143.28</v>
      </c>
      <c r="S147" s="35">
        <f t="shared" si="8"/>
        <v>156</v>
      </c>
      <c r="T147" s="36">
        <v>0</v>
      </c>
      <c r="U147" s="36">
        <v>0</v>
      </c>
      <c r="V147" s="36">
        <v>0</v>
      </c>
      <c r="W147" s="37">
        <v>0</v>
      </c>
      <c r="X147" s="37">
        <v>0</v>
      </c>
      <c r="Y147" s="58">
        <f t="shared" si="7"/>
        <v>156</v>
      </c>
    </row>
    <row r="148" spans="2:25" ht="33" customHeight="1" x14ac:dyDescent="0.25">
      <c r="B148" s="13">
        <v>45978</v>
      </c>
      <c r="C148" s="100" t="s">
        <v>298</v>
      </c>
      <c r="D148" s="30"/>
      <c r="E148" s="30" t="s">
        <v>292</v>
      </c>
      <c r="F148" s="62"/>
      <c r="G148" s="102" t="s">
        <v>299</v>
      </c>
      <c r="H148" s="17" t="s">
        <v>36</v>
      </c>
      <c r="I148" s="18">
        <v>39</v>
      </c>
      <c r="J148" s="19">
        <v>2</v>
      </c>
      <c r="K148" s="19">
        <f t="shared" si="6"/>
        <v>78</v>
      </c>
      <c r="L148" s="19">
        <v>0</v>
      </c>
      <c r="M148" s="19">
        <f>-(36/3)*2</f>
        <v>-24</v>
      </c>
      <c r="N148" s="19">
        <f>(36/3)*2</f>
        <v>24</v>
      </c>
      <c r="O148" s="19">
        <f>-(6/3)*2</f>
        <v>-4</v>
      </c>
      <c r="P148" s="19">
        <f>-(2/3)*2</f>
        <v>-1.3333333333333333</v>
      </c>
      <c r="Q148" s="19">
        <f>-(0.5/3)*2</f>
        <v>-0.33333333333333331</v>
      </c>
      <c r="R148" s="20">
        <f t="shared" si="10"/>
        <v>72.333333333333343</v>
      </c>
      <c r="S148" s="35">
        <f t="shared" si="8"/>
        <v>78</v>
      </c>
      <c r="T148" s="36">
        <v>0</v>
      </c>
      <c r="U148" s="36">
        <f>-(6/3)*2</f>
        <v>-4</v>
      </c>
      <c r="V148" s="36">
        <v>0</v>
      </c>
      <c r="W148" s="37">
        <v>0</v>
      </c>
      <c r="X148" s="37">
        <v>0</v>
      </c>
      <c r="Y148" s="58">
        <f t="shared" si="7"/>
        <v>74</v>
      </c>
    </row>
    <row r="149" spans="2:25" ht="33" customHeight="1" x14ac:dyDescent="0.25">
      <c r="B149" s="13">
        <v>45978</v>
      </c>
      <c r="C149" s="101"/>
      <c r="D149" s="30"/>
      <c r="E149" s="30" t="s">
        <v>292</v>
      </c>
      <c r="F149" s="62"/>
      <c r="G149" s="103"/>
      <c r="H149" s="17" t="s">
        <v>69</v>
      </c>
      <c r="I149" s="18">
        <v>29</v>
      </c>
      <c r="J149" s="19">
        <v>1</v>
      </c>
      <c r="K149" s="19">
        <f t="shared" si="6"/>
        <v>29</v>
      </c>
      <c r="L149" s="19">
        <v>0</v>
      </c>
      <c r="M149" s="19">
        <f>-(36/3)*1</f>
        <v>-12</v>
      </c>
      <c r="N149" s="19">
        <f>(36/3)*1</f>
        <v>12</v>
      </c>
      <c r="O149" s="19">
        <f>-(6/3)*1</f>
        <v>-2</v>
      </c>
      <c r="P149" s="19">
        <f>-(2/3)*1</f>
        <v>-0.66666666666666663</v>
      </c>
      <c r="Q149" s="19">
        <f>-(0.5/3)*1</f>
        <v>-0.16666666666666666</v>
      </c>
      <c r="R149" s="20">
        <f t="shared" si="10"/>
        <v>26.166666666666664</v>
      </c>
      <c r="S149" s="35">
        <f t="shared" si="8"/>
        <v>29</v>
      </c>
      <c r="T149" s="36">
        <v>0</v>
      </c>
      <c r="U149" s="36">
        <f>-(6/3)*1</f>
        <v>-2</v>
      </c>
      <c r="V149" s="36">
        <v>0</v>
      </c>
      <c r="W149" s="37">
        <v>0</v>
      </c>
      <c r="X149" s="37">
        <v>0</v>
      </c>
      <c r="Y149" s="58">
        <f t="shared" si="7"/>
        <v>27</v>
      </c>
    </row>
    <row r="150" spans="2:25" ht="33" customHeight="1" x14ac:dyDescent="0.25">
      <c r="B150" s="13">
        <v>45978</v>
      </c>
      <c r="C150" s="100" t="s">
        <v>300</v>
      </c>
      <c r="D150" s="30"/>
      <c r="E150" s="30" t="s">
        <v>292</v>
      </c>
      <c r="F150" s="62"/>
      <c r="G150" s="104" t="s">
        <v>301</v>
      </c>
      <c r="H150" s="17" t="s">
        <v>51</v>
      </c>
      <c r="I150" s="18">
        <v>39</v>
      </c>
      <c r="J150" s="19">
        <v>35</v>
      </c>
      <c r="K150" s="19">
        <f t="shared" si="6"/>
        <v>1365</v>
      </c>
      <c r="L150" s="19">
        <v>0</v>
      </c>
      <c r="M150" s="19">
        <f>-(205/65)*35</f>
        <v>-110.38461538461539</v>
      </c>
      <c r="N150" s="19">
        <f>(205/65)*35</f>
        <v>110.38461538461539</v>
      </c>
      <c r="O150" s="19">
        <f>-(125/65)*35</f>
        <v>-67.307692307692307</v>
      </c>
      <c r="P150" s="19">
        <f>-(50/65)*35</f>
        <v>-26.923076923076923</v>
      </c>
      <c r="Q150" s="19">
        <f>-(10.3/65)*35</f>
        <v>-5.546153846153846</v>
      </c>
      <c r="R150" s="20">
        <f t="shared" si="10"/>
        <v>1265.2230769230769</v>
      </c>
      <c r="S150" s="35">
        <f t="shared" si="8"/>
        <v>1365</v>
      </c>
      <c r="T150" s="36">
        <v>0</v>
      </c>
      <c r="U150" s="36">
        <f>-(250/65)*35</f>
        <v>-134.61538461538461</v>
      </c>
      <c r="V150" s="36">
        <v>0</v>
      </c>
      <c r="W150" s="37">
        <v>0</v>
      </c>
      <c r="X150" s="37">
        <v>0</v>
      </c>
      <c r="Y150" s="58">
        <f t="shared" si="7"/>
        <v>1230.3846153846155</v>
      </c>
    </row>
    <row r="151" spans="2:25" ht="33" customHeight="1" x14ac:dyDescent="0.25">
      <c r="B151" s="13">
        <v>45978</v>
      </c>
      <c r="C151" s="101"/>
      <c r="D151" s="30"/>
      <c r="E151" s="30" t="s">
        <v>292</v>
      </c>
      <c r="F151" s="62"/>
      <c r="G151" s="105"/>
      <c r="H151" s="17" t="s">
        <v>45</v>
      </c>
      <c r="I151" s="18">
        <v>29</v>
      </c>
      <c r="J151" s="19">
        <v>30</v>
      </c>
      <c r="K151" s="19">
        <f t="shared" si="6"/>
        <v>870</v>
      </c>
      <c r="L151" s="19">
        <v>0</v>
      </c>
      <c r="M151" s="19">
        <f>-(205/65)*30</f>
        <v>-94.615384615384613</v>
      </c>
      <c r="N151" s="19">
        <f>(205/65)*30</f>
        <v>94.615384615384613</v>
      </c>
      <c r="O151" s="19">
        <f>-(125/65)*30</f>
        <v>-57.692307692307693</v>
      </c>
      <c r="P151" s="19">
        <f>-(50/65)*30</f>
        <v>-23.076923076923077</v>
      </c>
      <c r="Q151" s="19">
        <f>-(10.3/65)*30</f>
        <v>-4.7538461538461538</v>
      </c>
      <c r="R151" s="20">
        <f t="shared" si="10"/>
        <v>784.47692307692307</v>
      </c>
      <c r="S151" s="35">
        <f t="shared" si="8"/>
        <v>870</v>
      </c>
      <c r="T151" s="36">
        <v>0</v>
      </c>
      <c r="U151" s="36">
        <f>-(250/65)*30</f>
        <v>-115.38461538461539</v>
      </c>
      <c r="V151" s="36">
        <v>0</v>
      </c>
      <c r="W151" s="37">
        <v>0</v>
      </c>
      <c r="X151" s="37">
        <v>0</v>
      </c>
      <c r="Y151" s="58">
        <f t="shared" ref="Y151:Y162" si="11">SUM(S151:X151)</f>
        <v>754.61538461538464</v>
      </c>
    </row>
    <row r="152" spans="2:25" ht="33" customHeight="1" x14ac:dyDescent="0.25">
      <c r="B152" s="13">
        <v>45978</v>
      </c>
      <c r="C152" s="14" t="s">
        <v>302</v>
      </c>
      <c r="D152" s="30"/>
      <c r="E152" s="30" t="s">
        <v>292</v>
      </c>
      <c r="F152" s="62"/>
      <c r="G152" s="69" t="s">
        <v>303</v>
      </c>
      <c r="H152" s="17" t="s">
        <v>89</v>
      </c>
      <c r="I152" s="18">
        <v>29</v>
      </c>
      <c r="J152" s="19">
        <v>4</v>
      </c>
      <c r="K152" s="19">
        <f t="shared" si="6"/>
        <v>116</v>
      </c>
      <c r="L152" s="19">
        <v>0</v>
      </c>
      <c r="M152" s="19">
        <v>0</v>
      </c>
      <c r="N152" s="19">
        <v>0</v>
      </c>
      <c r="O152" s="19">
        <v>-6</v>
      </c>
      <c r="P152" s="19">
        <v>-3</v>
      </c>
      <c r="Q152" s="19">
        <v>-0.54</v>
      </c>
      <c r="R152" s="20">
        <f t="shared" si="10"/>
        <v>106.46</v>
      </c>
      <c r="S152" s="35">
        <f t="shared" si="8"/>
        <v>116</v>
      </c>
      <c r="T152" s="36">
        <v>0</v>
      </c>
      <c r="U152" s="36">
        <v>0</v>
      </c>
      <c r="V152" s="36">
        <v>0</v>
      </c>
      <c r="W152" s="37">
        <v>0</v>
      </c>
      <c r="X152" s="37">
        <v>0</v>
      </c>
      <c r="Y152" s="58">
        <f t="shared" si="11"/>
        <v>116</v>
      </c>
    </row>
    <row r="153" spans="2:25" ht="33" customHeight="1" x14ac:dyDescent="0.25">
      <c r="B153" s="13">
        <v>45978</v>
      </c>
      <c r="C153" s="14" t="s">
        <v>304</v>
      </c>
      <c r="D153" s="30"/>
      <c r="E153" s="30" t="s">
        <v>292</v>
      </c>
      <c r="F153" s="62"/>
      <c r="G153" s="69" t="s">
        <v>305</v>
      </c>
      <c r="H153" s="17" t="s">
        <v>80</v>
      </c>
      <c r="I153" s="18">
        <v>39</v>
      </c>
      <c r="J153" s="19">
        <v>3</v>
      </c>
      <c r="K153" s="19">
        <f t="shared" si="6"/>
        <v>117</v>
      </c>
      <c r="L153" s="19">
        <v>0</v>
      </c>
      <c r="M153" s="19">
        <v>0</v>
      </c>
      <c r="N153" s="19">
        <v>0</v>
      </c>
      <c r="O153" s="19">
        <v>-7</v>
      </c>
      <c r="P153" s="19">
        <v>-3</v>
      </c>
      <c r="Q153" s="19">
        <v>-0.54</v>
      </c>
      <c r="R153" s="20">
        <f t="shared" si="10"/>
        <v>106.46</v>
      </c>
      <c r="S153" s="35">
        <f t="shared" si="8"/>
        <v>117</v>
      </c>
      <c r="T153" s="36">
        <v>0</v>
      </c>
      <c r="U153" s="36">
        <v>0</v>
      </c>
      <c r="V153" s="36">
        <v>0</v>
      </c>
      <c r="W153" s="37">
        <v>0</v>
      </c>
      <c r="X153" s="37">
        <v>0</v>
      </c>
      <c r="Y153" s="58">
        <f t="shared" si="11"/>
        <v>117</v>
      </c>
    </row>
    <row r="154" spans="2:25" ht="33" customHeight="1" x14ac:dyDescent="0.25">
      <c r="B154" s="13"/>
      <c r="C154" s="14"/>
      <c r="D154" s="30"/>
      <c r="E154" s="30"/>
      <c r="F154" s="62"/>
      <c r="G154" s="69"/>
      <c r="H154" s="17"/>
      <c r="I154" s="18"/>
      <c r="J154" s="19"/>
      <c r="K154" s="19"/>
      <c r="L154" s="19"/>
      <c r="M154" s="19"/>
      <c r="N154" s="19"/>
      <c r="O154" s="19"/>
      <c r="P154" s="19"/>
      <c r="Q154" s="19"/>
      <c r="R154" s="20"/>
      <c r="S154" s="35"/>
      <c r="T154" s="36"/>
      <c r="U154" s="36"/>
      <c r="V154" s="36"/>
      <c r="W154" s="37"/>
      <c r="X154" s="37"/>
      <c r="Y154" s="58"/>
    </row>
    <row r="155" spans="2:25" ht="33" customHeight="1" x14ac:dyDescent="0.25">
      <c r="B155" s="13"/>
      <c r="C155" s="14"/>
      <c r="D155" s="30"/>
      <c r="E155" s="30"/>
      <c r="F155" s="62"/>
      <c r="G155" s="69"/>
      <c r="H155" s="17"/>
      <c r="I155" s="18"/>
      <c r="J155" s="19"/>
      <c r="K155" s="19"/>
      <c r="L155" s="19"/>
      <c r="M155" s="19"/>
      <c r="N155" s="19"/>
      <c r="O155" s="19"/>
      <c r="P155" s="19"/>
      <c r="Q155" s="19"/>
      <c r="R155" s="20"/>
      <c r="S155" s="35"/>
      <c r="T155" s="36"/>
      <c r="U155" s="36"/>
      <c r="V155" s="36"/>
      <c r="W155" s="37"/>
      <c r="X155" s="37"/>
      <c r="Y155" s="58"/>
    </row>
    <row r="156" spans="2:25" ht="33" customHeight="1" x14ac:dyDescent="0.25">
      <c r="B156" s="13"/>
      <c r="C156" s="14"/>
      <c r="D156" s="30"/>
      <c r="E156" s="30"/>
      <c r="F156" s="62"/>
      <c r="G156" s="69"/>
      <c r="H156" s="17"/>
      <c r="I156" s="18"/>
      <c r="J156" s="19"/>
      <c r="K156" s="19"/>
      <c r="L156" s="19"/>
      <c r="M156" s="19"/>
      <c r="N156" s="19"/>
      <c r="O156" s="19"/>
      <c r="P156" s="19"/>
      <c r="Q156" s="19"/>
      <c r="R156" s="20"/>
      <c r="S156" s="35"/>
      <c r="T156" s="36"/>
      <c r="U156" s="36"/>
      <c r="V156" s="36"/>
      <c r="W156" s="37"/>
      <c r="X156" s="37"/>
      <c r="Y156" s="58"/>
    </row>
    <row r="157" spans="2:25" ht="33" customHeight="1" x14ac:dyDescent="0.25">
      <c r="B157" s="13"/>
      <c r="C157" s="14"/>
      <c r="D157" s="30"/>
      <c r="E157" s="30"/>
      <c r="F157" s="62"/>
      <c r="G157" s="69"/>
      <c r="H157" s="17"/>
      <c r="I157" s="18"/>
      <c r="J157" s="19"/>
      <c r="K157" s="19"/>
      <c r="L157" s="19"/>
      <c r="M157" s="19"/>
      <c r="N157" s="19"/>
      <c r="O157" s="19"/>
      <c r="P157" s="19"/>
      <c r="Q157" s="19"/>
      <c r="R157" s="20"/>
      <c r="S157" s="35"/>
      <c r="T157" s="36"/>
      <c r="U157" s="36"/>
      <c r="V157" s="36"/>
      <c r="W157" s="37"/>
      <c r="X157" s="37"/>
      <c r="Y157" s="58"/>
    </row>
    <row r="158" spans="2:25" ht="33" customHeight="1" x14ac:dyDescent="0.25">
      <c r="B158" s="13"/>
      <c r="C158" s="14"/>
      <c r="D158" s="30"/>
      <c r="E158" s="30"/>
      <c r="F158" s="62"/>
      <c r="G158" s="69"/>
      <c r="H158" s="17"/>
      <c r="I158" s="18"/>
      <c r="J158" s="19"/>
      <c r="K158" s="19"/>
      <c r="L158" s="19"/>
      <c r="M158" s="19"/>
      <c r="N158" s="19"/>
      <c r="O158" s="19"/>
      <c r="P158" s="19"/>
      <c r="Q158" s="19"/>
      <c r="R158" s="20"/>
      <c r="S158" s="35"/>
      <c r="T158" s="36"/>
      <c r="U158" s="36"/>
      <c r="V158" s="36"/>
      <c r="W158" s="37"/>
      <c r="X158" s="37"/>
      <c r="Y158" s="58"/>
    </row>
    <row r="159" spans="2:25" ht="33" customHeight="1" x14ac:dyDescent="0.25">
      <c r="B159" s="13"/>
      <c r="C159" s="14"/>
      <c r="D159" s="30"/>
      <c r="E159" s="30"/>
      <c r="F159" s="62"/>
      <c r="G159" s="69"/>
      <c r="H159" s="17"/>
      <c r="I159" s="18"/>
      <c r="J159" s="19"/>
      <c r="K159" s="19"/>
      <c r="L159" s="19"/>
      <c r="M159" s="19"/>
      <c r="N159" s="19"/>
      <c r="O159" s="19"/>
      <c r="P159" s="19"/>
      <c r="Q159" s="19"/>
      <c r="R159" s="20"/>
      <c r="S159" s="35"/>
      <c r="T159" s="36"/>
      <c r="U159" s="36"/>
      <c r="V159" s="36"/>
      <c r="W159" s="37"/>
      <c r="X159" s="37"/>
      <c r="Y159" s="58"/>
    </row>
    <row r="160" spans="2:25" ht="33" customHeight="1" x14ac:dyDescent="0.25">
      <c r="B160" s="13"/>
      <c r="C160" s="14"/>
      <c r="D160" s="30"/>
      <c r="E160" s="30"/>
      <c r="F160" s="62"/>
      <c r="G160" s="69"/>
      <c r="H160" s="17"/>
      <c r="I160" s="18"/>
      <c r="J160" s="19"/>
      <c r="K160" s="19"/>
      <c r="L160" s="19"/>
      <c r="M160" s="19"/>
      <c r="N160" s="19"/>
      <c r="O160" s="19"/>
      <c r="P160" s="19"/>
      <c r="Q160" s="19"/>
      <c r="R160" s="20"/>
      <c r="S160" s="35"/>
      <c r="T160" s="36"/>
      <c r="U160" s="36"/>
      <c r="V160" s="36"/>
      <c r="W160" s="37"/>
      <c r="X160" s="37"/>
      <c r="Y160" s="58"/>
    </row>
    <row r="161" spans="2:25" ht="33" customHeight="1" x14ac:dyDescent="0.25">
      <c r="B161" s="13"/>
      <c r="C161" s="14"/>
      <c r="D161" s="30"/>
      <c r="E161" s="30"/>
      <c r="F161" s="62"/>
      <c r="G161" s="69"/>
      <c r="H161" s="17"/>
      <c r="I161" s="18"/>
      <c r="J161" s="19"/>
      <c r="K161" s="19"/>
      <c r="L161" s="19"/>
      <c r="M161" s="19"/>
      <c r="N161" s="19"/>
      <c r="O161" s="19"/>
      <c r="P161" s="19"/>
      <c r="Q161" s="19"/>
      <c r="R161" s="20"/>
      <c r="S161" s="35"/>
      <c r="T161" s="36"/>
      <c r="U161" s="36"/>
      <c r="V161" s="36"/>
      <c r="W161" s="37"/>
      <c r="X161" s="37"/>
      <c r="Y161" s="58"/>
    </row>
    <row r="162" spans="2:25" ht="39.75" customHeight="1" x14ac:dyDescent="0.25">
      <c r="B162" s="13"/>
      <c r="C162" s="30"/>
      <c r="D162" s="30"/>
      <c r="E162" s="30"/>
      <c r="F162" s="62"/>
      <c r="G162" s="40"/>
      <c r="H162" s="17"/>
      <c r="I162" s="18"/>
      <c r="J162" s="19"/>
      <c r="K162" s="19"/>
      <c r="L162" s="19"/>
      <c r="M162" s="19"/>
      <c r="N162" s="19"/>
      <c r="O162" s="19"/>
      <c r="P162" s="19"/>
      <c r="Q162" s="19"/>
      <c r="R162" s="20"/>
      <c r="S162" s="35"/>
      <c r="T162" s="36">
        <v>0</v>
      </c>
      <c r="U162" s="36">
        <v>0</v>
      </c>
      <c r="V162" s="36">
        <v>0</v>
      </c>
      <c r="W162" s="37">
        <v>0</v>
      </c>
      <c r="X162" s="37">
        <v>0</v>
      </c>
      <c r="Y162" s="58">
        <f t="shared" si="11"/>
        <v>0</v>
      </c>
    </row>
    <row r="163" spans="2:25" ht="33" customHeight="1" thickBot="1" x14ac:dyDescent="0.3">
      <c r="B163" s="13"/>
      <c r="C163" s="70"/>
      <c r="D163" s="70"/>
      <c r="E163" s="70"/>
      <c r="F163" s="71"/>
      <c r="G163" s="72"/>
      <c r="H163" s="17"/>
      <c r="I163" s="18"/>
      <c r="J163" s="19"/>
      <c r="K163" s="19"/>
      <c r="L163" s="19"/>
      <c r="M163" s="19"/>
      <c r="N163" s="19"/>
      <c r="O163" s="19"/>
      <c r="P163" s="19"/>
      <c r="Q163" s="19"/>
      <c r="R163" s="20"/>
      <c r="S163" s="73"/>
      <c r="T163" s="74"/>
      <c r="U163" s="74"/>
      <c r="V163" s="74"/>
      <c r="W163" s="75"/>
      <c r="X163" s="75"/>
      <c r="Y163" s="76"/>
    </row>
    <row r="164" spans="2:25" ht="33" customHeight="1" x14ac:dyDescent="0.25">
      <c r="J164" s="79">
        <f t="shared" ref="J164:O164" si="12">SUM(J2:J163)</f>
        <v>868.5</v>
      </c>
      <c r="K164" s="79">
        <f t="shared" si="12"/>
        <v>29506</v>
      </c>
      <c r="L164" s="79">
        <f t="shared" si="12"/>
        <v>707.55</v>
      </c>
      <c r="M164" s="79">
        <f t="shared" si="12"/>
        <v>-7408</v>
      </c>
      <c r="N164" s="79">
        <f t="shared" si="12"/>
        <v>6679</v>
      </c>
      <c r="O164" s="79">
        <f t="shared" si="12"/>
        <v>-1671.28</v>
      </c>
      <c r="P164" s="79">
        <f t="shared" ref="P164:Y164" si="13">SUM(P2:P163)</f>
        <v>-677.74000000000012</v>
      </c>
      <c r="Q164" s="79">
        <f t="shared" si="13"/>
        <v>-131.90000000000006</v>
      </c>
      <c r="R164" s="79">
        <f>SUM(R2:R163)</f>
        <v>27003.629999999983</v>
      </c>
      <c r="S164" s="79">
        <f t="shared" si="13"/>
        <v>29116</v>
      </c>
      <c r="T164" s="79">
        <f t="shared" si="13"/>
        <v>743</v>
      </c>
      <c r="U164" s="79">
        <f t="shared" si="13"/>
        <v>-1652</v>
      </c>
      <c r="V164" s="79">
        <f t="shared" si="13"/>
        <v>0</v>
      </c>
      <c r="W164" s="79">
        <f t="shared" si="13"/>
        <v>-2</v>
      </c>
      <c r="X164" s="79">
        <f t="shared" si="13"/>
        <v>-1</v>
      </c>
      <c r="Y164" s="79">
        <f t="shared" si="13"/>
        <v>28059</v>
      </c>
    </row>
    <row r="166" spans="2:25" ht="33" customHeight="1" x14ac:dyDescent="0.4">
      <c r="C166" s="98" t="s">
        <v>306</v>
      </c>
      <c r="D166" s="99"/>
      <c r="E166" s="80" t="s">
        <v>307</v>
      </c>
    </row>
    <row r="167" spans="2:25" ht="33" customHeight="1" x14ac:dyDescent="0.4">
      <c r="C167" s="97" t="s">
        <v>26</v>
      </c>
      <c r="D167" s="97"/>
      <c r="E167" s="81">
        <f>SUMIF(E2:E163,"COMPLETED",R2:R163)</f>
        <v>9788.6799999999985</v>
      </c>
      <c r="G167" s="82"/>
      <c r="H167" s="83" t="s">
        <v>308</v>
      </c>
      <c r="I167" s="83" t="s">
        <v>309</v>
      </c>
      <c r="J167" s="83" t="s">
        <v>310</v>
      </c>
      <c r="K167" s="83" t="s">
        <v>311</v>
      </c>
      <c r="L167" s="83" t="s">
        <v>309</v>
      </c>
      <c r="M167" s="83" t="s">
        <v>310</v>
      </c>
      <c r="N167" s="84"/>
    </row>
    <row r="168" spans="2:25" ht="33" customHeight="1" x14ac:dyDescent="0.4">
      <c r="C168" s="97" t="s">
        <v>61</v>
      </c>
      <c r="D168" s="97"/>
      <c r="E168" s="81">
        <f>SUMIF(E2:E163,"DELIVERED",R2:R163)</f>
        <v>7656.4400000000005</v>
      </c>
      <c r="H168" s="85" t="s">
        <v>206</v>
      </c>
      <c r="I168" s="86">
        <f>SUMIF(H2:H163,"Apple Green #12",J2:J163)</f>
        <v>8</v>
      </c>
      <c r="J168" s="86">
        <f>150-I168</f>
        <v>142</v>
      </c>
      <c r="K168" s="85" t="s">
        <v>141</v>
      </c>
      <c r="L168" s="86">
        <f>SUMIF(H2:H163,"Christmas Eve Cream",J2:J163)</f>
        <v>17</v>
      </c>
      <c r="M168" s="86">
        <f>150-L168</f>
        <v>133</v>
      </c>
      <c r="N168" s="84"/>
    </row>
    <row r="169" spans="2:25" ht="33" customHeight="1" x14ac:dyDescent="0.4">
      <c r="C169" s="97" t="s">
        <v>312</v>
      </c>
      <c r="D169" s="97"/>
      <c r="E169" s="81">
        <f>SUMIF(E2:E163,"AT SORTING FACILITY",R2:R163)</f>
        <v>6511.0300000000025</v>
      </c>
      <c r="H169" s="85" t="s">
        <v>261</v>
      </c>
      <c r="I169" s="86">
        <f>SUMIF(H2:H163,"Black #17",J2:J163)</f>
        <v>20</v>
      </c>
      <c r="J169" s="86">
        <f t="shared" ref="J169:J184" si="14">150-I169</f>
        <v>130</v>
      </c>
      <c r="K169" s="85" t="s">
        <v>55</v>
      </c>
      <c r="L169" s="86">
        <f>SUMIF(H2:H163,"Christmas Eve Red",J2:J163)</f>
        <v>42</v>
      </c>
      <c r="M169" s="86">
        <f>150-L169</f>
        <v>108</v>
      </c>
      <c r="N169" s="84"/>
    </row>
    <row r="170" spans="2:25" ht="33" customHeight="1" x14ac:dyDescent="0.4">
      <c r="C170" s="97" t="s">
        <v>292</v>
      </c>
      <c r="D170" s="97"/>
      <c r="E170" s="81">
        <f>SUMIF(E2:E163,"TO SHIP",R2:R163)</f>
        <v>2592.9499999999998</v>
      </c>
      <c r="H170" s="85" t="s">
        <v>66</v>
      </c>
      <c r="I170" s="86">
        <f>SUMIF(H2:H163,"Cream #20",J2:J163)</f>
        <v>22</v>
      </c>
      <c r="J170" s="86">
        <f t="shared" si="14"/>
        <v>128</v>
      </c>
      <c r="K170" s="85" t="s">
        <v>63</v>
      </c>
      <c r="L170" s="86">
        <f>SUMIF(H2:H163,"Desiree-Lavender",J2:J163)</f>
        <v>33</v>
      </c>
      <c r="M170" s="86">
        <f t="shared" ref="M170:M180" si="15">150-L170</f>
        <v>117</v>
      </c>
      <c r="N170" s="84"/>
    </row>
    <row r="171" spans="2:25" ht="33" customHeight="1" x14ac:dyDescent="0.4">
      <c r="C171" s="97" t="s">
        <v>313</v>
      </c>
      <c r="D171" s="97"/>
      <c r="E171" s="81">
        <f>SUMIF(E2:E163,"DELIVERY ATTEMPT",R2:R163)</f>
        <v>0</v>
      </c>
      <c r="H171" s="85" t="s">
        <v>45</v>
      </c>
      <c r="I171" s="86">
        <f>SUMIF(H2:H163,"Dark Grey #56",J2:J163)</f>
        <v>47</v>
      </c>
      <c r="J171" s="86">
        <f t="shared" si="14"/>
        <v>103</v>
      </c>
      <c r="K171" s="85" t="s">
        <v>48</v>
      </c>
      <c r="L171" s="86">
        <f>SUMIF(H2:H163,"Desiree-Red",J2:J163)</f>
        <v>16</v>
      </c>
      <c r="M171" s="86">
        <f t="shared" si="15"/>
        <v>134</v>
      </c>
      <c r="N171" s="84"/>
    </row>
    <row r="172" spans="2:25" ht="33" customHeight="1" x14ac:dyDescent="0.4">
      <c r="C172" s="77"/>
      <c r="D172" s="77"/>
      <c r="E172" s="87">
        <f>SUM(E167:E171)</f>
        <v>26549.100000000002</v>
      </c>
      <c r="H172" s="85" t="s">
        <v>94</v>
      </c>
      <c r="I172" s="86">
        <f>SUMIF(H2:H163,"Emerald #15",J2:J163)</f>
        <v>18</v>
      </c>
      <c r="J172" s="86">
        <f t="shared" si="14"/>
        <v>132</v>
      </c>
      <c r="K172" s="85" t="s">
        <v>51</v>
      </c>
      <c r="L172" s="86">
        <f>SUMIF(H2:H163,"Drake-Grey",J2:J163)</f>
        <v>74</v>
      </c>
      <c r="M172" s="86">
        <f t="shared" si="15"/>
        <v>76</v>
      </c>
      <c r="N172" s="84"/>
    </row>
    <row r="173" spans="2:25" ht="33" customHeight="1" x14ac:dyDescent="0.4">
      <c r="E173" s="124"/>
      <c r="H173" s="85" t="s">
        <v>148</v>
      </c>
      <c r="I173" s="86">
        <f>SUMIF(H2:H163,"Fuschia Pink #10",J2:J163)</f>
        <v>3</v>
      </c>
      <c r="J173" s="86">
        <f t="shared" si="14"/>
        <v>147</v>
      </c>
      <c r="K173" s="85" t="s">
        <v>169</v>
      </c>
      <c r="L173" s="86">
        <f>SUMIF(H2:H163,"Drake-Red",J2:J163)</f>
        <v>12</v>
      </c>
      <c r="M173" s="86">
        <f t="shared" si="15"/>
        <v>138</v>
      </c>
      <c r="N173" s="84"/>
    </row>
    <row r="174" spans="2:25" ht="33" customHeight="1" x14ac:dyDescent="0.4">
      <c r="C174" s="98" t="s">
        <v>314</v>
      </c>
      <c r="D174" s="99"/>
      <c r="E174" s="80" t="s">
        <v>307</v>
      </c>
      <c r="H174" s="85" t="s">
        <v>73</v>
      </c>
      <c r="I174" s="86">
        <f>SUMIF(H2:H163,"Green #13",J2:J163)</f>
        <v>32</v>
      </c>
      <c r="J174" s="86">
        <f t="shared" si="14"/>
        <v>118</v>
      </c>
      <c r="K174" s="85" t="s">
        <v>103</v>
      </c>
      <c r="L174" s="86">
        <f>SUMIF(H2:H163,"Errose-Apple Green",J2:J163)</f>
        <v>56</v>
      </c>
      <c r="M174" s="86">
        <f t="shared" si="15"/>
        <v>94</v>
      </c>
      <c r="N174" s="84"/>
    </row>
    <row r="175" spans="2:25" ht="33" customHeight="1" x14ac:dyDescent="0.4">
      <c r="C175" s="97" t="s">
        <v>111</v>
      </c>
      <c r="D175" s="97"/>
      <c r="E175" s="125">
        <f>SUMIF(E2:E163,"T-COMPLETED",R2:R163)</f>
        <v>331.34000000000003</v>
      </c>
      <c r="H175" s="88" t="s">
        <v>32</v>
      </c>
      <c r="I175" s="86">
        <f>SUMIF(H2:H163,"Lavender #35",J2:J163)</f>
        <v>20</v>
      </c>
      <c r="J175" s="86">
        <f t="shared" si="14"/>
        <v>130</v>
      </c>
      <c r="K175" s="85" t="s">
        <v>80</v>
      </c>
      <c r="L175" s="86">
        <f>SUMIF(H2:H163,"Errose-Blue",J2:J163)</f>
        <v>36</v>
      </c>
      <c r="M175" s="86">
        <f t="shared" si="15"/>
        <v>114</v>
      </c>
      <c r="N175" s="84"/>
    </row>
    <row r="176" spans="2:25" ht="33" customHeight="1" x14ac:dyDescent="0.4">
      <c r="C176" s="97" t="s">
        <v>257</v>
      </c>
      <c r="D176" s="97"/>
      <c r="E176" s="125">
        <f>SUMIF(E2:E163,"T-DELIVERED",R2:R163)</f>
        <v>123.19</v>
      </c>
      <c r="H176" s="85" t="s">
        <v>151</v>
      </c>
      <c r="I176" s="86">
        <f>SUMIF(H2:H163,"Light Blue #25",J2:J163)</f>
        <v>8</v>
      </c>
      <c r="J176" s="86">
        <f t="shared" si="14"/>
        <v>142</v>
      </c>
      <c r="K176" s="85" t="s">
        <v>36</v>
      </c>
      <c r="L176" s="86">
        <f>SUMIF(H2:H163,"Errose-Pink",J2:J163)</f>
        <v>44</v>
      </c>
      <c r="M176" s="86">
        <f t="shared" si="15"/>
        <v>106</v>
      </c>
      <c r="N176" s="84"/>
    </row>
    <row r="177" spans="2:14" ht="33" customHeight="1" x14ac:dyDescent="0.4">
      <c r="E177" s="126">
        <f>SUM(E175:E176)</f>
        <v>454.53000000000003</v>
      </c>
      <c r="H177" s="85" t="s">
        <v>85</v>
      </c>
      <c r="I177" s="86">
        <f>SUMIF(H2:H163,"Light Pink #04",J2:J163)</f>
        <v>11</v>
      </c>
      <c r="J177" s="86">
        <f t="shared" si="14"/>
        <v>139</v>
      </c>
      <c r="K177" s="85" t="s">
        <v>39</v>
      </c>
      <c r="L177" s="86">
        <f>SUMIF(H2:H163,"Esther PP-Pink",J2:J163)</f>
        <v>71</v>
      </c>
      <c r="M177" s="86">
        <f t="shared" si="15"/>
        <v>79</v>
      </c>
      <c r="N177" s="84"/>
    </row>
    <row r="178" spans="2:14" ht="33" customHeight="1" x14ac:dyDescent="0.3">
      <c r="H178" s="85" t="s">
        <v>270</v>
      </c>
      <c r="I178" s="86">
        <f>SUMIF(H2:H163,"Maroon #61",J2:J163)</f>
        <v>24</v>
      </c>
      <c r="J178" s="86">
        <f t="shared" si="14"/>
        <v>126</v>
      </c>
      <c r="K178" s="85" t="s">
        <v>162</v>
      </c>
      <c r="L178" s="86">
        <f>SUMIF(H2:H163,"Esther PP-Red",J2:J163)</f>
        <v>8</v>
      </c>
      <c r="M178" s="86">
        <f t="shared" si="15"/>
        <v>142</v>
      </c>
      <c r="N178" s="84"/>
    </row>
    <row r="179" spans="2:14" ht="33" customHeight="1" x14ac:dyDescent="0.4">
      <c r="E179" s="87">
        <f>E172+E177</f>
        <v>27003.63</v>
      </c>
      <c r="H179" s="85" t="s">
        <v>42</v>
      </c>
      <c r="I179" s="86">
        <f>SUMIF(H2:H163,"Off-White #02",J2:J163)</f>
        <v>13</v>
      </c>
      <c r="J179" s="86">
        <f t="shared" si="14"/>
        <v>137</v>
      </c>
      <c r="K179" s="85" t="s">
        <v>28</v>
      </c>
      <c r="L179" s="86">
        <f>SUMIF(H2:H163,"Olive Green-Noraisa",J2:J163)</f>
        <v>31</v>
      </c>
      <c r="M179" s="86">
        <f t="shared" si="15"/>
        <v>119</v>
      </c>
      <c r="N179" s="84"/>
    </row>
    <row r="180" spans="2:14" ht="33" customHeight="1" x14ac:dyDescent="0.3">
      <c r="H180" s="85" t="s">
        <v>118</v>
      </c>
      <c r="I180" s="86">
        <f>SUMIF(H2:H163,"Olive Green #29",J2:J163)</f>
        <v>35</v>
      </c>
      <c r="J180" s="86">
        <f t="shared" si="14"/>
        <v>115</v>
      </c>
      <c r="K180" s="85" t="s">
        <v>157</v>
      </c>
      <c r="L180" s="86">
        <f>SUMIF(H2:H163,"Yellow-Sidnilyn",J2:J163)</f>
        <v>34.5</v>
      </c>
      <c r="M180" s="86">
        <f t="shared" si="15"/>
        <v>115.5</v>
      </c>
      <c r="N180" s="84"/>
    </row>
    <row r="181" spans="2:14" ht="33" customHeight="1" x14ac:dyDescent="0.3">
      <c r="H181" s="85" t="s">
        <v>69</v>
      </c>
      <c r="I181" s="86">
        <f>SUMIF(H2:H163,"Pink #05",J2:J163)</f>
        <v>15</v>
      </c>
      <c r="J181" s="86">
        <f t="shared" si="14"/>
        <v>135</v>
      </c>
      <c r="K181" s="85"/>
      <c r="L181" s="86"/>
      <c r="M181" s="86"/>
      <c r="N181" s="84"/>
    </row>
    <row r="182" spans="2:14" ht="33" customHeight="1" x14ac:dyDescent="0.3">
      <c r="H182" s="85" t="s">
        <v>100</v>
      </c>
      <c r="I182" s="86">
        <f>SUMIF(H2:H163,"Purple #39",J2:J163)</f>
        <v>14</v>
      </c>
      <c r="J182" s="86">
        <f t="shared" si="14"/>
        <v>136</v>
      </c>
      <c r="K182" s="85"/>
      <c r="L182" s="86"/>
      <c r="M182" s="86"/>
      <c r="N182" s="84"/>
    </row>
    <row r="183" spans="2:14" ht="33" customHeight="1" x14ac:dyDescent="0.3">
      <c r="H183" s="89" t="s">
        <v>93</v>
      </c>
      <c r="I183" s="86">
        <f>SUMIF(H2:H163,"Red #16",J2:J163)</f>
        <v>38</v>
      </c>
      <c r="J183" s="86">
        <f t="shared" si="14"/>
        <v>112</v>
      </c>
      <c r="K183" s="85"/>
      <c r="L183" s="86"/>
      <c r="M183" s="86"/>
      <c r="N183" s="84"/>
    </row>
    <row r="184" spans="2:14" ht="33" customHeight="1" x14ac:dyDescent="0.3">
      <c r="H184" s="85" t="s">
        <v>89</v>
      </c>
      <c r="I184" s="86">
        <f>SUMIF(H2:H163,"White #01",J2:J163)</f>
        <v>57</v>
      </c>
      <c r="J184" s="86">
        <f t="shared" si="14"/>
        <v>93</v>
      </c>
      <c r="K184" s="85"/>
      <c r="L184" s="86"/>
      <c r="M184" s="86"/>
      <c r="N184" s="84"/>
    </row>
    <row r="185" spans="2:14" ht="33" customHeight="1" x14ac:dyDescent="0.3">
      <c r="H185" s="85" t="s">
        <v>92</v>
      </c>
      <c r="I185" s="86">
        <f>SUMIF(H2:H163,"Yellow #08",J2:J163)</f>
        <v>8</v>
      </c>
      <c r="J185" s="86">
        <f>150-I185</f>
        <v>142</v>
      </c>
      <c r="K185" s="85"/>
      <c r="L185" s="86"/>
      <c r="M185" s="86"/>
      <c r="N185" s="84"/>
    </row>
    <row r="186" spans="2:14" ht="33" customHeight="1" x14ac:dyDescent="0.3">
      <c r="H186" s="85" t="s">
        <v>258</v>
      </c>
      <c r="I186" s="86">
        <f>SUMIF(H2:H163,"Yellow Gold #62",J2:J163)</f>
        <v>1</v>
      </c>
      <c r="J186" s="86">
        <f>150-I186</f>
        <v>149</v>
      </c>
      <c r="K186" s="85"/>
      <c r="L186" s="86"/>
      <c r="M186" s="86"/>
      <c r="N186" s="84"/>
    </row>
    <row r="187" spans="2:14" ht="33" customHeight="1" x14ac:dyDescent="0.3">
      <c r="H187" s="85"/>
      <c r="I187" s="86"/>
      <c r="J187" s="86"/>
      <c r="K187" s="85"/>
      <c r="L187" s="86"/>
      <c r="M187" s="86"/>
      <c r="N187" s="84"/>
    </row>
    <row r="188" spans="2:14" ht="33" customHeight="1" x14ac:dyDescent="0.35">
      <c r="B188" s="90" t="s">
        <v>315</v>
      </c>
      <c r="C188" s="90" t="s">
        <v>316</v>
      </c>
      <c r="H188" s="91" t="s">
        <v>317</v>
      </c>
      <c r="I188" s="84">
        <f>SUM(I168:I187)</f>
        <v>394</v>
      </c>
      <c r="J188" s="84"/>
      <c r="K188" s="84"/>
      <c r="L188" s="84">
        <f>SUM(L168:L185)</f>
        <v>474.5</v>
      </c>
      <c r="M188" s="84"/>
      <c r="N188" s="84">
        <f>SUM(I188:L188)</f>
        <v>868.5</v>
      </c>
    </row>
    <row r="189" spans="2:14" ht="33" customHeight="1" x14ac:dyDescent="0.35">
      <c r="B189" s="92">
        <v>45960</v>
      </c>
      <c r="C189" s="93">
        <f>SUMIF(B2:B163,"30/10/2025",R2:R163)</f>
        <v>106.46</v>
      </c>
    </row>
    <row r="190" spans="2:14" ht="33" customHeight="1" x14ac:dyDescent="0.35">
      <c r="B190" s="92">
        <v>45961</v>
      </c>
      <c r="C190" s="94">
        <f>SUMIF(B2:B163,"31/10/2025",R2:R163)</f>
        <v>532.32000000000005</v>
      </c>
    </row>
    <row r="191" spans="2:14" ht="33" customHeight="1" x14ac:dyDescent="0.35">
      <c r="B191" s="92">
        <v>45962</v>
      </c>
      <c r="C191" s="94">
        <f>SUMIF(B2:B163,"1/11/2025",R2:R163)</f>
        <v>1213.8799999999999</v>
      </c>
    </row>
    <row r="192" spans="2:14" ht="33" customHeight="1" x14ac:dyDescent="0.35">
      <c r="B192" s="92">
        <v>45963</v>
      </c>
      <c r="C192" s="94">
        <f>SUMIF(B2:B163,"2/11/2025",R2:R163)</f>
        <v>1254.68</v>
      </c>
    </row>
    <row r="193" spans="2:3" ht="33" customHeight="1" x14ac:dyDescent="0.35">
      <c r="B193" s="92">
        <v>45964</v>
      </c>
      <c r="C193" s="94">
        <f>SUMIF(B2:B163,"3/11/2025",R2:R163)</f>
        <v>69.64</v>
      </c>
    </row>
    <row r="194" spans="2:3" ht="33" customHeight="1" x14ac:dyDescent="0.35">
      <c r="B194" s="92">
        <v>45965</v>
      </c>
      <c r="C194" s="94">
        <f>SUMIF(B2:B163,"4/11/2025",R2:R163)</f>
        <v>1930.2899999999995</v>
      </c>
    </row>
    <row r="195" spans="2:3" ht="33" customHeight="1" x14ac:dyDescent="0.35">
      <c r="B195" s="92">
        <v>45966</v>
      </c>
      <c r="C195" s="94">
        <f>SUMIF(B2:B163,"5/11/2025",R2:R163)</f>
        <v>1475.5700000000002</v>
      </c>
    </row>
    <row r="196" spans="2:3" ht="33" customHeight="1" x14ac:dyDescent="0.35">
      <c r="B196" s="92">
        <v>45967</v>
      </c>
      <c r="C196" s="93">
        <f>SUMIF(B2:B163,"6/11/2025",R2:R163)</f>
        <v>961.16000000000008</v>
      </c>
    </row>
    <row r="197" spans="2:3" ht="33" customHeight="1" x14ac:dyDescent="0.35">
      <c r="B197" s="92">
        <v>45968</v>
      </c>
      <c r="C197" s="93">
        <f>SUMIF(B2:B163,"7/11/2025",R2:R163)</f>
        <v>1024.8399999999999</v>
      </c>
    </row>
    <row r="198" spans="2:3" ht="33" customHeight="1" x14ac:dyDescent="0.35">
      <c r="B198" s="92">
        <v>45969</v>
      </c>
      <c r="C198" s="93">
        <f>SUMIF(B2:B163,"8/11/2025",R2:R163)</f>
        <v>1873.5600000000002</v>
      </c>
    </row>
    <row r="199" spans="2:3" ht="33" customHeight="1" x14ac:dyDescent="0.35">
      <c r="B199" s="92">
        <v>45970</v>
      </c>
      <c r="C199" s="93">
        <f>SUMIF(B2:B163,"09/11/2025",R2:R163)</f>
        <v>2854.6300000000006</v>
      </c>
    </row>
    <row r="200" spans="2:3" ht="33" customHeight="1" x14ac:dyDescent="0.35">
      <c r="B200" s="92">
        <v>45971</v>
      </c>
      <c r="C200" s="93">
        <f>SUMIF(B2:B163,"10/11/2025",R2:R163)</f>
        <v>787.04000000000008</v>
      </c>
    </row>
    <row r="201" spans="2:3" ht="33" customHeight="1" x14ac:dyDescent="0.35">
      <c r="B201" s="92">
        <v>45972</v>
      </c>
      <c r="C201" s="93">
        <f>SUMIF(B2:B163,"11/11/2025",R2:R163)</f>
        <v>2964.0499999999997</v>
      </c>
    </row>
    <row r="202" spans="2:3" ht="33" customHeight="1" x14ac:dyDescent="0.35">
      <c r="B202" s="92">
        <v>45973</v>
      </c>
      <c r="C202" s="93">
        <f>SUMIF(B2:B163,"12/11/2025",R2:R163)</f>
        <v>1474.39</v>
      </c>
    </row>
    <row r="203" spans="2:3" ht="33" customHeight="1" x14ac:dyDescent="0.35">
      <c r="B203" s="92">
        <v>45974</v>
      </c>
      <c r="C203" s="93">
        <f>SUMIF(B2:B163,"13/11/2025",R2:R163)</f>
        <v>585.04999999999995</v>
      </c>
    </row>
    <row r="204" spans="2:3" ht="33" customHeight="1" x14ac:dyDescent="0.35">
      <c r="B204" s="92">
        <v>45975</v>
      </c>
      <c r="C204" s="93">
        <f>SUMIF(B2:B163,"14/11/2025",R2:R163)</f>
        <v>1326.1399999999994</v>
      </c>
    </row>
    <row r="205" spans="2:3" ht="33" customHeight="1" x14ac:dyDescent="0.35">
      <c r="B205" s="92">
        <v>45976</v>
      </c>
      <c r="C205" s="93">
        <f>SUMIF(B2:B163,"15/11/2025",R2:R163)</f>
        <v>1327.3200000000002</v>
      </c>
    </row>
    <row r="206" spans="2:3" ht="33" customHeight="1" x14ac:dyDescent="0.35">
      <c r="B206" s="92">
        <v>45977</v>
      </c>
      <c r="C206" s="93">
        <f>SUMIF(B2:B163,"16/11/2025",R2:R163)</f>
        <v>2881.49</v>
      </c>
    </row>
    <row r="207" spans="2:3" ht="33" customHeight="1" x14ac:dyDescent="0.35">
      <c r="B207" s="92">
        <v>45978</v>
      </c>
      <c r="C207" s="93">
        <f>SUMIF(B2:B163,"17/11/2025",R2:R163)</f>
        <v>2361.12</v>
      </c>
    </row>
    <row r="208" spans="2:3" ht="33" customHeight="1" x14ac:dyDescent="0.35">
      <c r="B208" s="92">
        <v>45979</v>
      </c>
      <c r="C208" s="93"/>
    </row>
    <row r="209" spans="2:3" ht="33" customHeight="1" x14ac:dyDescent="0.35">
      <c r="B209" s="92">
        <v>45980</v>
      </c>
      <c r="C209" s="93"/>
    </row>
    <row r="210" spans="2:3" ht="33" customHeight="1" x14ac:dyDescent="0.35">
      <c r="B210" s="92">
        <v>45981</v>
      </c>
      <c r="C210" s="93"/>
    </row>
    <row r="211" spans="2:3" ht="33" customHeight="1" x14ac:dyDescent="0.35">
      <c r="B211" s="92">
        <v>45982</v>
      </c>
      <c r="C211" s="93"/>
    </row>
    <row r="212" spans="2:3" ht="33" customHeight="1" x14ac:dyDescent="0.35">
      <c r="B212" s="92">
        <v>45983</v>
      </c>
      <c r="C212" s="93"/>
    </row>
    <row r="213" spans="2:3" ht="33" customHeight="1" x14ac:dyDescent="0.35">
      <c r="B213" s="92">
        <v>45984</v>
      </c>
      <c r="C213" s="93"/>
    </row>
    <row r="214" spans="2:3" ht="33" customHeight="1" x14ac:dyDescent="0.35">
      <c r="B214" s="92">
        <v>45985</v>
      </c>
      <c r="C214" s="93"/>
    </row>
    <row r="215" spans="2:3" ht="33" customHeight="1" x14ac:dyDescent="0.35">
      <c r="B215" s="92">
        <v>45986</v>
      </c>
      <c r="C215" s="93"/>
    </row>
    <row r="216" spans="2:3" ht="33" customHeight="1" x14ac:dyDescent="0.35">
      <c r="B216" s="92">
        <v>45987</v>
      </c>
      <c r="C216" s="93"/>
    </row>
    <row r="217" spans="2:3" ht="33" customHeight="1" x14ac:dyDescent="0.35">
      <c r="B217" s="92">
        <v>45988</v>
      </c>
      <c r="C217" s="93"/>
    </row>
    <row r="218" spans="2:3" ht="33" customHeight="1" x14ac:dyDescent="0.35">
      <c r="B218" s="92">
        <v>45989</v>
      </c>
      <c r="C218" s="93"/>
    </row>
    <row r="219" spans="2:3" ht="33" customHeight="1" x14ac:dyDescent="0.35">
      <c r="B219" s="92">
        <v>45990</v>
      </c>
      <c r="C219" s="93"/>
    </row>
    <row r="220" spans="2:3" ht="33" customHeight="1" x14ac:dyDescent="0.35">
      <c r="B220" s="92">
        <v>45991</v>
      </c>
      <c r="C220" s="93"/>
    </row>
    <row r="221" spans="2:3" ht="33" customHeight="1" x14ac:dyDescent="0.35">
      <c r="B221" s="95"/>
      <c r="C221" s="96">
        <f>SUM(C189:C220)</f>
        <v>27003.63</v>
      </c>
    </row>
  </sheetData>
  <autoFilter ref="B1:Z162"/>
  <mergeCells count="58">
    <mergeCell ref="C24:C28"/>
    <mergeCell ref="D24:D28"/>
    <mergeCell ref="F24:F28"/>
    <mergeCell ref="G24:G28"/>
    <mergeCell ref="C30:C31"/>
    <mergeCell ref="D30:D31"/>
    <mergeCell ref="F30:F31"/>
    <mergeCell ref="G30:G31"/>
    <mergeCell ref="C34:C35"/>
    <mergeCell ref="D34:D35"/>
    <mergeCell ref="F34:F35"/>
    <mergeCell ref="G34:G35"/>
    <mergeCell ref="C40:C41"/>
    <mergeCell ref="D40:D41"/>
    <mergeCell ref="F40:F41"/>
    <mergeCell ref="G40:G41"/>
    <mergeCell ref="C45:C46"/>
    <mergeCell ref="D45:D46"/>
    <mergeCell ref="F45:F46"/>
    <mergeCell ref="G45:G46"/>
    <mergeCell ref="C53:C54"/>
    <mergeCell ref="D53:D54"/>
    <mergeCell ref="G53:G54"/>
    <mergeCell ref="C100:C103"/>
    <mergeCell ref="G100:G103"/>
    <mergeCell ref="C59:C62"/>
    <mergeCell ref="D59:D62"/>
    <mergeCell ref="F59:F62"/>
    <mergeCell ref="G59:G62"/>
    <mergeCell ref="C69:C70"/>
    <mergeCell ref="D69:D70"/>
    <mergeCell ref="F69:F70"/>
    <mergeCell ref="G69:G70"/>
    <mergeCell ref="C71:C74"/>
    <mergeCell ref="D71:D74"/>
    <mergeCell ref="G71:G74"/>
    <mergeCell ref="C87:C88"/>
    <mergeCell ref="G87:G88"/>
    <mergeCell ref="C167:D167"/>
    <mergeCell ref="C113:C114"/>
    <mergeCell ref="G113:G114"/>
    <mergeCell ref="C120:C124"/>
    <mergeCell ref="C128:C129"/>
    <mergeCell ref="G128:G129"/>
    <mergeCell ref="C131:C135"/>
    <mergeCell ref="G131:G135"/>
    <mergeCell ref="C148:C149"/>
    <mergeCell ref="G148:G149"/>
    <mergeCell ref="C150:C151"/>
    <mergeCell ref="G150:G151"/>
    <mergeCell ref="C166:D166"/>
    <mergeCell ref="C176:D176"/>
    <mergeCell ref="C168:D168"/>
    <mergeCell ref="C169:D169"/>
    <mergeCell ref="C170:D170"/>
    <mergeCell ref="C171:D171"/>
    <mergeCell ref="C174:D174"/>
    <mergeCell ref="C175:D175"/>
  </mergeCells>
  <conditionalFormatting sqref="J168:J185">
    <cfRule type="cellIs" dxfId="17" priority="13" operator="lessThan">
      <formula>50</formula>
    </cfRule>
    <cfRule type="cellIs" dxfId="16" priority="14" operator="between">
      <formula>100</formula>
      <formula>51</formula>
    </cfRule>
    <cfRule type="cellIs" dxfId="15" priority="18" operator="lessThan">
      <formula>50</formula>
    </cfRule>
  </conditionalFormatting>
  <conditionalFormatting sqref="M168:M185">
    <cfRule type="cellIs" dxfId="14" priority="15" operator="lessThan">
      <formula>50</formula>
    </cfRule>
    <cfRule type="cellIs" dxfId="13" priority="16" operator="between">
      <formula>100</formula>
      <formula>51</formula>
    </cfRule>
    <cfRule type="cellIs" dxfId="12" priority="17" operator="lessThan">
      <formula>100</formula>
    </cfRule>
  </conditionalFormatting>
  <conditionalFormatting sqref="J186">
    <cfRule type="cellIs" dxfId="11" priority="7" operator="lessThan">
      <formula>50</formula>
    </cfRule>
    <cfRule type="cellIs" dxfId="10" priority="8" operator="between">
      <formula>100</formula>
      <formula>51</formula>
    </cfRule>
    <cfRule type="cellIs" dxfId="9" priority="12" operator="lessThan">
      <formula>50</formula>
    </cfRule>
  </conditionalFormatting>
  <conditionalFormatting sqref="M186">
    <cfRule type="cellIs" dxfId="8" priority="9" operator="lessThan">
      <formula>50</formula>
    </cfRule>
    <cfRule type="cellIs" dxfId="7" priority="10" operator="between">
      <formula>100</formula>
      <formula>51</formula>
    </cfRule>
    <cfRule type="cellIs" dxfId="6" priority="11" operator="lessThan">
      <formula>100</formula>
    </cfRule>
  </conditionalFormatting>
  <conditionalFormatting sqref="J187">
    <cfRule type="cellIs" dxfId="5" priority="1" operator="lessThan">
      <formula>50</formula>
    </cfRule>
    <cfRule type="cellIs" dxfId="4" priority="2" operator="between">
      <formula>100</formula>
      <formula>51</formula>
    </cfRule>
    <cfRule type="cellIs" dxfId="3" priority="6" operator="lessThan">
      <formula>50</formula>
    </cfRule>
  </conditionalFormatting>
  <conditionalFormatting sqref="M187">
    <cfRule type="cellIs" dxfId="2" priority="3" operator="lessThan">
      <formula>50</formula>
    </cfRule>
    <cfRule type="cellIs" dxfId="1" priority="4" operator="between">
      <formula>100</formula>
      <formula>51</formula>
    </cfRule>
    <cfRule type="cellIs" dxfId="0" priority="5" operator="lessThan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Chie Dayon</dc:creator>
  <cp:lastModifiedBy>Jay Chie Dayon</cp:lastModifiedBy>
  <dcterms:created xsi:type="dcterms:W3CDTF">2025-11-17T07:45:07Z</dcterms:created>
  <dcterms:modified xsi:type="dcterms:W3CDTF">2025-11-17T07:49:25Z</dcterms:modified>
</cp:coreProperties>
</file>